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tc={107e24a3-fed7-46db-bd52-9da609072528}</author>
    <author>tc={14cf634f-31c3-4fa9-a0c6-43f8443bcf9d}</author>
    <author>tc={1df7ffd5-e81f-45cc-9574-496bc96f2d47}</author>
    <author>tc={1ef99a09-6ec2-4a8a-a950-fea9ba184d05}</author>
    <author>tc={5a22049a-1867-4078-8e53-a91ca9312ee3}</author>
    <author>tc={5da820cf-8ae3-4264-befd-852503495d7c}</author>
    <author>tc={7438f738-6b2b-4f52-9ee3-43e784af4999}</author>
    <author>tc={781e46bb-1574-422b-b19e-6cc04a937534}</author>
    <author>tc={80f292a5-214e-487d-b48e-6ab1a964d730}</author>
    <author>tc={9f4617b6-db0b-4d94-b399-7e1100331ff1}</author>
    <author>tc={b3ec1ce5-780d-4d16-b63c-3a0ec7825a3f}</author>
    <author>tc={b6e926c1-25d9-48bd-881a-9827a004646d}</author>
    <author>tc={c8e98f00-0e72-4a6f-a04e-fd4d234863d1}</author>
    <author>tc={c9bc1e7b-1f4c-4f6c-a9ea-e9512902392f}</author>
    <author>tc={e44c4eda-28ff-47b9-8f99-4c92bb04c0f2}</author>
    <author>tc={fa18c60c-e4d7-46b7-973f-2a6748e2b110}</author>
  </authors>
  <commentList>
    <comment authorId="0" xr:uid="{107e24a3-fed7-46db-bd52-9da609072528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GET BLACK
</t>
      </text>
    </comment>
    <comment authorId="1" xr:uid="{14cf634f-31c3-4fa9-a0c6-43f8443bcf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get a BLACK one (and whatever's on sale but same length as other one)
</t>
      </text>
    </comment>
    <comment authorId="2" xr:uid="{1df7ffd5-e81f-45cc-9574-496bc96f2d47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3d print enclosure for this
</t>
      </text>
    </comment>
    <comment authorId="3" xr:uid="{1ef99a09-6ec2-4a8a-a950-fea9ba184d05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need a crimping tool that works with 4-22 AWG
</t>
      </text>
    </comment>
    <comment authorId="4" xr:uid="{5a22049a-1867-4078-8e53-a91ca9312ee3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figure this out in the diagram
</t>
      </text>
    </comment>
    <comment authorId="5" xr:uid="{5da820cf-8ae3-4264-befd-852503495d7c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STILL NEED TO ADD WIRE
Reply:
	added solenoid and starter motor to josh's drivetrain list cuz its more relevant
Reply:
	also im sure we have a crimping tool right?
</t>
      </text>
    </comment>
    <comment authorId="6" xr:uid="{7438f738-6b2b-4f52-9ee3-43e784af4999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anand do we need this
Reply:
	it has its own GPS and works and stuff then we don't need anything else
</t>
      </text>
    </comment>
    <comment authorId="7" xr:uid="{781e46bb-1574-422b-b19e-6cc04a937534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 ITS ONLY 7lbs with 30Ah capacity!!
</t>
      </text>
    </comment>
    <comment authorId="8" xr:uid="{80f292a5-214e-487d-b48e-6ab1a964d730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 SAID HE'll find one
Reply:
	for cheaper
</t>
      </text>
    </comment>
    <comment authorId="9" xr:uid="{9f4617b6-db0b-4d94-b399-7e1100331ff1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automotive grade but its still PET
</t>
      </text>
    </comment>
    <comment authorId="10" xr:uid="{b3ec1ce5-780d-4d16-b63c-3a0ec7825a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IDK HOW LONG YET
Reply:
	GET A RED ONE (whatever length on sale)
</t>
      </text>
    </comment>
    <comment authorId="11" xr:uid="{b6e926c1-25d9-48bd-881a-9827a004646d}" ref="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https://hornblasters.com/collections/air-horn-kits/products/spocker-3-liter-horn-kit	
or
https://www.amazon.com/Hella-Stark-109-23-37-Frequency-12-volt/dp/B00ASK3BP8/ref=sr_1_15?crid=3QKP1AVUCUOFT&amp;dib=eyJ2IjoiMSJ9.p_QkEX5rdsFPstbun4-QOwsbbeH-lhaQBfPgbC0YIpDzLGKMv474iMSudRRkdMvShqWSlssKL8-635aO8Hz5MbrM2yrE1q3HfbGG0MzlCJbibxh_hELPv0XbQ7S6XXP00-M-AeI8KfXo6dpRmGgsVQn2k3H7RWdQcZVlG1FYkT2H7erif5El-CCa5RnQc0JoP99jGWcJrmrRwxZvTTD6ls2xUW-_v-lLwOQL_VDbxh0.n93z0O_1abHVKFVumzq80HMzjjfPajAHqxjWgqFzRJA&amp;dib_tag=se&amp;keywords=car+horn&amp;qid=1763340783&amp;sprefix=carhorn%2Caps%2C186&amp;sr=8-15
Reply:
	these should come w battery if we postponing electronic parts
</t>
      </text>
    </comment>
    <comment authorId="12" xr:uid="{c8e98f00-0e72-4a6f-a04e-fd4d234863d1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GET RED
</t>
      </text>
    </comment>
    <comment authorId="13" xr:uid="{c9bc1e7b-1f4c-4f6c-a9ea-e9512902392f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spray paint one red
</t>
      </text>
    </comment>
    <comment authorId="14" xr:uid="{e44c4eda-28ff-47b9-8f99-4c92bb04c0f2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GET BLACK
</t>
      </text>
    </comment>
    <comment authorId="15" xr:uid="{fa18c60c-e4d7-46b7-973f-2a6748e2b110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GET RED
</t>
      </text>
    </comment>
  </commentList>
</comments>
</file>

<file path=xl/sharedStrings.xml><?xml version="1.0" encoding="utf-8"?>
<sst xmlns="http://schemas.openxmlformats.org/spreadsheetml/2006/main" count="92" uniqueCount="88">
  <si>
    <t>Description</t>
  </si>
  <si>
    <t>Link</t>
  </si>
  <si>
    <t>Price</t>
  </si>
  <si>
    <t>Quantity</t>
  </si>
  <si>
    <t>Subtotal</t>
  </si>
  <si>
    <t>Total</t>
  </si>
  <si>
    <t>DO NOT EDIT COLUMNS</t>
  </si>
  <si>
    <t>diode-protected relay socket</t>
  </si>
  <si>
    <t>https://www.amazon.com/ARTGEAR-Harness-Color-Labeled-Automotive-Motorcycle/dp/B078T8CMF6/ref=sr_1_3?crid=3CK15Z4F9WEAH&amp;dib=eyJ2IjoiMSJ9.nUmKohjnP2z4BVQVpMrlhfovj3OaglK1DB7s0H96bF_U2k1Bv3NeiEuEOyg0OwKpKTlq-QhNTwQSQoLi0vpL5-zMQYsolGXWabxK1LpIjDhn4z0xkKqMyDO3LrufpNfg6Lv3SO7BSOUW2LOky5t8Sn4afOzMdinzOe0poSXY_As11YrRX3QCQmO_B6TOxNTqp9P6Vih81xHml7PptHSaqA0MkEjTMQ09FwN87nJ9F7U.EzV2zwUv8eccUeQHDZiLc1nNFSelNQPYQho8WI786J4&amp;dib_tag=se&amp;keywords=diode+protected+automotive+relay+socket&amp;qid=1763093569&amp;sprefix=doideprotected+automotive+relay+socket%2Caps%2C140&amp;sr=8-3</t>
  </si>
  <si>
    <t>w/out tax</t>
  </si>
  <si>
    <t xml:space="preserve">automotive bosch relay </t>
  </si>
  <si>
    <t>https://www.amazon.com/Bosch-0986332030-Relay/dp/B00BHIM4N0/ref=sr_1_5?crid=78L1JV553CBS&amp;dib=eyJ2IjoiMSJ9.TiTm8Xqc2dmyOCYywFLdC0yZeg8lyIPdpyyz3-LMyElvMW9oNsyjH1vaEK0-YpOQnr8SAaAP6JDr7YCNz7oxXccR3b4F08qe5NrN_Xc6s8aDdDOAlCV-Qgk97omueDCmnznk2IifXVNSqBrbIAH0-Y7edhDvRLwxaP3zDWt3FE02-CPcApHagSQ53_lnyn1dUW9OtoV-K6ltezjHq7Gdaj-kqEuhFbOnqKxqL6GCHaA._fF4FnpHbHlHCQxCo9FnTHrd76bEDM8MryLK8NnoWXE&amp;dib_tag=se&amp;keywords=automotive+bosch+4+pin+relay&amp;qid=1763093735&amp;sprefix=automotive+bosch+4+pin+relay%2Caps%2C169&amp;sr=8-5</t>
  </si>
  <si>
    <t>w/ tax</t>
  </si>
  <si>
    <t>12 socket fuse box</t>
  </si>
  <si>
    <t>https://www.amazon.com/DaierTek-Indicator-Waterproof-Terminals-Automotive/dp/B0CGT91KTR/ref=sr_1_1_sspa?dib=eyJ2IjoiMSJ9.yJ4JEVJxU88lVO90BCG8Y1xWB1PNjxElk9GfKoCD3vwqaeFqPG7l7E6jn4hHONEoYMo4Vy3CflfQ07Ymv2l1g1jPdM174q-QxJoPdtMjrD__a3nDF1cCBe0NNvHDna2NuHTQbYsG0xhcGV4mnHQteyh64tCQxLFxqBDmvstoSO7k8igYIopOa_bT26T5ZUdvE43ZkKbyW59PzRON8c3iKXe8wVkSiPIONRkboE-iM0c.Nw5M4CZ4k01h_ir1NVqSDf0eWeRZBxSShrQVjUYdX2Q&amp;dib_tag=se&amp;hvadid=636053227156&amp;hvdev=c&amp;hvexpln=0&amp;hvlocphy=9032032&amp;hvnetw=g&amp;hvocijid=15914853125634371330--&amp;hvqmt=e&amp;hvrand=15914853125634371330&amp;hvtargid=kwd-1192110188&amp;hydadcr=7472_13278789&amp;keywords=automotive%2Bfuse%2Bbox&amp;mcid=04b64a79d92330409d49354ad8591080&amp;qid=1763093859&amp;sr=8-1-spons&amp;sp_csd=d2lkZ2V0TmFtZT1zcF9hdGY&amp;th=1</t>
  </si>
  <si>
    <t>AP FIND ANOTHER 6A 12V charger specifically designed for LiPO!!!!</t>
  </si>
  <si>
    <t>ATC/ATO fuse assortment</t>
  </si>
  <si>
    <t>https://www.amazon.com/ZIPCCI-Standard-Fuse-Assortment-Accessories/dp/B0B18NVT5Z/ref=sr_1_2_sspa?crid=34CVNJOUEAQQ4&amp;dib=eyJ2IjoiMSJ9.4m8Zxi-k4Hl1NdscuMGE0IF8ebfxAJDZlnmxB_bFOIx0CZOQVDCDMbkORnqkciYct9RNVDBzMrBG2kszKsIB-WszST00DFirlFrQEzfBTwdLuoBJRSBFUL8p4ljSNzy7DzVsj9CuEBrBZ4MxCsblt23aD771_CGvva0dbm47E3EjZGNe0Ij6GYS1lwY66axHYS2Yd_UAfmNh-3e5VR_MNGmLv6VQuTuMNqukt4B_XvE._7zC_y3KwlnDQjMdKQNHtufAdKEl9S9F_EEUpl0lTsE&amp;dib_tag=se&amp;keywords=atc%2Bautomotive%2Bfuses&amp;qid=1763093960&amp;sprefix=atc%2Bautomotive%2Bfuses%2Caps%2C165&amp;sr=8-2-spons&amp;sp_csd=d2lkZ2V0TmFtZT1zcF9hdGY&amp;th=1</t>
  </si>
  <si>
    <t>275A (positive) kill switch</t>
  </si>
  <si>
    <t>https://www.amazon.com/GOGONFLY-Battery-Disconnect-Isolator-Vehicles/dp/B0981PHXLK/ref=sr_1_1_sspa?crid=2KS4W6KKUKRC8&amp;dib=eyJ2IjoiMSJ9.JqzI2bAYtICzqoGZ0F3ibnslfGzGly5YVpnGD--ENngDefoLj8MTxHAfcjC-iTOo_ohDh8avIOh4XAKJ8eeXQLk2Tj5OQK9Tn5Wx0WCpMgfo3iARf_XVtkTqOjTW4OeoU6-DdrKDQzdpZog_GPFypnSlqN9R6OySzEjAfezQgY-lT0aiYYGl7XB6XZggAZ-n8MU0Zj6wMao_LslaE0i3AD2HC7wKFrBNhNv_v8_8dYE.keREUhREffNotNjILmFxBDjcMXw-gieb1d8SSGKfRV0&amp;dib_tag=se&amp;keywords=battery+kill+switch&amp;qid=1763332042&amp;sprefix=batteyr+kill+switch%2Caps%2C239&amp;sr=8-1-spons&amp;sp_csd=d2lkZ2V0TmFtZT1zcF9hdGY&amp;psc=1</t>
  </si>
  <si>
    <t>2 250A bus bars (4BIG and 6SMALL screws per)</t>
  </si>
  <si>
    <t>https://www.amazon.com/Mofeez-Power-Distribution-Screws-Terminals/dp/B0DGLC9XFT/ref=sr_1_2_sspa?crid=16DD2WO2S0ZQW&amp;dib=eyJ2IjoiMSJ9.MrnrjEg81Z-97CJkHwJNJ-15A_HFCALhUEhen846oG8GHM2kEBMrhp0W8A0_57SNZ2TIJYXYTZ3DHt7P73wu2MD2BZ1fo8aMR_Qmd7xw1V8PxLNaTygHlX35-7Su4OZ4BYZXL2Arnb2FECjFgXQaO3wfbCJWUjukm3OQvFXsniGKLkHN5KPKn98tR3e4KudMrrQSjlVZUfZHf2DVe0TgwNMW_9ayrzRb4RsVYrsB59A.MN_ZJL7tYIasKE6vgW1LW676dv9YsX0_QZvQhu4GD-Q&amp;dib_tag=se&amp;keywords=6%2BAWG%2Bpositive%2Bbus%2Bbar&amp;qid=1763094225&amp;sprefix=6%2Bawgpositive%2Bbus%2Bbar%2Caps%2C147&amp;sr=8-2-spons&amp;sp_csd=d2lkZ2V0TmFtZT1zcF9hdGY&amp;th=1</t>
  </si>
  <si>
    <t>wire end caps (for loose relay socket wires)</t>
  </si>
  <si>
    <t>https://www.amazon.com/Tmyjfjingxi-620PCS-Connectors-12-10AWG-Electrical/dp/B0DR8FRBT2/ref=sr_1_2_sspa?crid=2KVRK23FNDZP1&amp;dib=eyJ2IjoiMSJ9.GHO6zIE7OrA3HFmoSF7gUjscMu2_sVEitDFberDhF3AvzNWnZSd8ZSuWejDK-Y4-7CymmRs0oW8oVTlHqtYUjYklqxBr3OOf6XrsVzxcPfciYTehbDusKs4Z5kgFXD1aTcAn0I30NP73Kb4M_K-05o3dyJzensLM1EZOhdjcM8oLvLaAOOO7fJFapt-aApEO_7_c4HwAXLD3qhoqz7pYfF7KOlokKhF9D_snSEw_ZOY.na2DMvM3rH5AogNNfoPtP_gIPD30ujZiCp-hFJ5t9sM&amp;dib_tag=se&amp;keywords=wire+end+caps&amp;qid=1763095039&amp;sprefix=wire+endcaps%2Caps%2C167&amp;sr=8-2-spons&amp;sp_csd=d2lkZ2V0TmFtZT1zcF9hdGY&amp;psc=1</t>
  </si>
  <si>
    <t>heat shrink (900pk was cheaper than 200pk)</t>
  </si>
  <si>
    <t>https://www.amazon.com/Eventronic-Heat-Shrink-Tubing-Kit-3/dp/B0C8STNGB8/ref=sr_1_4?crid=3IVB0RPTD8FUO&amp;dib=eyJ2IjoiMSJ9.afAtOFc0AWv7IewHnY-Sslh2LQy4qUevBQuImrEUw35xMO1LFpE5AlLitiRIe01dhL5XHns547DxG1RXgC8txvgvRmp6veRUKg-DvYDqmlDpz0yYGY4MP_YZ1RoPj07kOFkR_gAUNz15X8t856ZBk8u9I3GBEepOKzaQw6ckNRaX4uvaZLEPB3dC0lce77RnIGVNvfmDrv1b7Zj6rRQW021FOfggeDrjW5vonJJbkm0.jsjZOZld4E0wV0B0JzcutVCLjh_i-I2-hpXReEiEIy0&amp;dib_tag=se&amp;keywords=heat%2Bshrink&amp;qid=1763095183&amp;sprefix=heat%2Bshrink%2Caps%2C190&amp;sr=8-4&amp;th=1</t>
  </si>
  <si>
    <t>terminal blocks/bus bars (using 3)</t>
  </si>
  <si>
    <t>https://www.amazon.com/Terminal-Position-Block-Insulated-Electrical/dp/B0BTYHGJK1/ref=sr_1_15?crid=1439609UAYP4D&amp;dib=eyJ2IjoiMSJ9.gkY6TIJithJv6_C4RtbBxJHTlBA439RQJGHHgEdAtEfV8Jkl_N87mIw_4H3PkPBqPoCHNrGvzAiYowniexIKRYd7r-UNoK_1xLB6d3IKrrewR2uyB_xmYz-YEqNrU0-I-LabJ0QrKTQABzKQXjgLq8zNtac3MCqi7rtGjwowdS9CZbHE89_XipO9XleFTEQDavvDq-BQrXdVhgV0owoy9skyko-s0RogtjhLMHwblYs.XGhvGnLB_163IWZWE6pFbDOYtPzMoj7ffRG_UI_MMeY&amp;dib_tag=se&amp;keywords=cheap%2Bbus%2Bbar&amp;qid=1763600335&amp;sprefix=cheapbus%2Bbar%2Caps%2C172&amp;sr=8-15&amp;th=1</t>
  </si>
  <si>
    <t>ring terminals for bus bars</t>
  </si>
  <si>
    <t>https://www.amazon.com/haisstronica-Non-Insulated-Connectors-Terminals-Electrical/dp/B09YCRNGP9/ref=sr_1_2_sspa?crid=20FH5ZAQFIKD8&amp;dib=eyJ2IjoiMSJ9.cTMTPk6zcDCPYuN7TiNZjHHT8srSPELN3o8WDppnrYanPQ4xscoVgEB47tXXxnRyjNiNWg1Z5RewwAc7VmaU0IzlOVixr-qkMea3rfenMU8xPPh7WxuBhr8am2vqyqVCz5dMyRw1nXGd6fyw2m9SWkjknxcijqILhAHptjQLQCSw_LHT7tkPH4BNEic1j_Yzl-b1px-GnaT7N5CTCZD-Ca78T8YQl6gZtO7Rau8jTcQ.g_pIIhRR6Cfr0604CljVLEr7iTozLCywLso2KbtJNTw&amp;dib_tag=se&amp;keywords=10-22%2Bawg%2Bring%2Bterminals&amp;qid=1763095146&amp;sprefix=10-22%2Bawg%2Bring%2Bterminals%2Caps%2C159&amp;sr=8-2-spons&amp;sp_csd=d2lkZ2V0TmFtZT1zcF9hdGY&amp;th=1</t>
  </si>
  <si>
    <t>MAXI fuse assortment</t>
  </si>
  <si>
    <t>https://www.amazon.com/30pcs-Maxi-Fuses-Assortment-Kit/dp/B0BGZMYJ19/ref=sr_1_1_sspa?crid=2QJ4Z0LRS8OKR&amp;dib=eyJ2IjoiMSJ9.EHkUm0Te8VHk46enBJD4YJqzM1-1b6RlNuf9_iXObwCMW7mH6SgT6Zt3QMiuuYVF_DWHIeOh_aCQCAqyXC3O3XkVcHQcsCoZrrtBOM2c0syBI0PxYdkDBxXCP_gjM4OmAHyy23kKfQwpgN4qjQmS-El3aVcFumozhobWG5WYfMsTiRPLO76l4DQ03VcdwoWKUQOd9XZx5C4F3FNzma3BtvVkaRzyo6gXxEsXy8sZmzY.9X5r0h4N68KUISbjm7j_ZYONRi-taMDzN_sfPeBM4yk&amp;dib_tag=se&amp;keywords=MAXI+fuse+assortment&amp;qid=1763099495&amp;sprefix=maxi+fuse+assortmen%2Caps%2C162&amp;sr=8-1-spons&amp;sp_csd=d2lkZ2V0TmFtZT1zcF9hdGY&amp;psc=1</t>
  </si>
  <si>
    <t>MAXI fuse holder</t>
  </si>
  <si>
    <t>https://www.amazon.com/SCOSCHE-PMFHIKF-Maxi-Fuse-Holder/dp/B072JHSW5J/ref=sr_1_4?crid=1OOXGAWR293IZ&amp;dib=eyJ2IjoiMSJ9.h52_Q0GXxmJ5mry2CDJ0U5xJeoho_WVoSEq5AfnXA5yKOejR9RYm0ok6sQmhsisZmZU7kXs2MoWZMz-BLWr3IRR_aevREUg6eLFNPwTX7wsUkwHqmk669a_P_iYEwrMlYE7Uyjh8d9-PL9zLb2LAMvKJ6IKZz9yzUHQwKIShA5qylPeHr2fZvpbMcTtwyI-mLg_oBJZTjTmkSBZo-EC9aOBiodJqXa1gbRnZ8LcjMwo.wYx3a9wPcdQxFL2HUuG4kAJtgZOAFWH9PmUJ3BIkBLw&amp;dib_tag=se&amp;keywords=maxi%2Bfuse%2Bholder&amp;qid=1763099388&amp;sprefix=maxi%2Bfuse%2Bholder%2Caps%2C166&amp;sr=8-4&amp;th=1</t>
  </si>
  <si>
    <t>inline fuse holder 2pk 12AWG 30A</t>
  </si>
  <si>
    <t>https://www.amazon.com/Inline-Fuse-Holder-Waterproof-XIOGZAXI/dp/B0C9V2SW8K/ref=sr_1_1_sspa?dib=eyJ2IjoiMSJ9.JKCt9LaUPLuuhEpMJKj3SKA7g4AIBrppvRF9TkzpqF54mK0WpT7041-3bZEJnKPlWL3_5fRosHcVzVBoX5tXACW-R0lvCtIypfqYH46SsTIhloYRQ9iScV4HjJ8eny55FL02Ap8CGq5ac7VeXtvR_I3lAU2yqrnJ1qfyWN4qo1h1PxfO14oW9NX7G5iVdr8EZM7KOlOBTA0QVIIyDPYGO-uu9Kzm7FqPxnKevGsuXLc.rrPicWwOEDbTiQ_7mWt9rQASXo2PLQe_TSWL4qBLQq0&amp;dib_tag=se&amp;hvadid=409954635979&amp;hvdev=c&amp;hvexpln=0&amp;hvlocphy=9032032&amp;hvnetw=g&amp;hvocijid=16755491710968729537--&amp;hvqmt=e&amp;hvrand=16755491710968729537&amp;hvtargid=kwd-367425262756&amp;hydadcr=24627_11409941&amp;keywords=18%2Bgauge%2Binline%2Bfuse%2Bholder&amp;mcid=6529de41279233b1ac143775a0541933&amp;qid=1763096650&amp;sr=8-1-spons&amp;sp_csd=d2lkZ2V0TmFtZT1zcF9hdGY&amp;th=1</t>
  </si>
  <si>
    <t>butt connectors for joining cut wires (don't solder)</t>
  </si>
  <si>
    <t>https://www.amazon.com/Connectors-Waterproof-Electrical-Kit-Thickened-Automotive/dp/B0FS123Z2V/ref=sr_1_5?crid=2O9JTOA7I96PM&amp;dib=eyJ2IjoiMSJ9.i5KggZISOTIyO5mPfq--oho2SDGPyktsX3E9eOgymQTNHvDfIXbcqIwjKmkmjNm6Gj71lWEd3Bsw2Kw3UoLLhk3o1bK3P-O_wJrToJ0pyQGRqh7YKxWd3APXGGjIdYTqUalZSNdYKQf5qFeyPKr7eHIfDWnozoyxDZKjlB0n_eKG6b3Z4xBlGYYeW4ZYqw_a3Id3w8HBuW0VFhO1LOmjOFHQEbJ_ALD6ayV292lf8Oo.JAAZr2muqoMiyZ2i459C9efzPFM7kOcTWRFsCwFo_mo&amp;dib_tag=se&amp;keywords=butt%2Bconnector&amp;qid=1763096816&amp;sprefix=butt%2Bconnector%2B%2Caps%2C212&amp;sr=8-5&amp;th=1</t>
  </si>
  <si>
    <t>deutch connector kit (for the sensors, etc.)</t>
  </si>
  <si>
    <t>https://www.amazon.com/Twippo-Automotive-Electrical-Waterproof-Connectors/dp/B0DQ5DK3TM/ref=sr_1_1_sspa?crid=SAX85E4B0X4M&amp;dib=eyJ2IjoiMSJ9.jgDBciL-DuRRfwcKS-Vg2Fqy2I-M2_AQ2K67uo0qC3GmJ3y6JMhVqfFeg8olQnknf_ZmyTjXdXOrWfliTs6Lcei5awU0FApXlqhZlKSyiFY1QIPc2N3QwCW6eJW_LnRXstrRPBtd1FlBe4yOWBqb4ypWAlQ--p_ZmqYwy2lIS5tD28yhdNBOO0L5HZheYO7Rc1-YlDfInbYGdh2BNEFbE66DyNpa8lRjpPN_rKCyx8Q.No5lWjhP3VYOk-2bgUjR2OOKD7iBG9VzHoG_5OR7cxo&amp;dib_tag=se&amp;keywords=deutsch+connector+kit&amp;qid=1763096862&amp;sprefix=deutch+connector+ki%2Caps%2C168&amp;sr=8-1-spons&amp;sp_csd=d2lkZ2V0TmFtZT1zcF9hdGY&amp;psc=1</t>
  </si>
  <si>
    <t>10A Emergency Stop NO/NC</t>
  </si>
  <si>
    <t>https://www.amazon.com/Emergency-Latching-Aluminum-Waterproof-Self-Locking/dp/B0BZTPQ1CJ/ref=sr_1_5?crid=1UNC9B6P6WKJL&amp;dib=eyJ2IjoiMSJ9.o0JLMga4CanfnAaJZnGvPgt00qirzJ30CQjgwpzrJF_kF_lQ5TCG8tppWb-Hc9RM8MBhQksOlUvaYlxskrSPFst9wPRxbIDM7GohRlhkjNXyx6VG_BNbPYhCq8Ms54VW2_Y0fvmrzNzP3ZDjsGGdTyn7_7SLQpb6Q9n9J4sOYK9hrhlaXmH7CxcmjFemULKfLwMcsFbcpcn0XHm-x1Cs8tNuDN3JiEoHJqJlrkjCffs_n_7CIN_3IkBbZSzBuie5jZmYl9yq_j2Z63v9nMCd_IxS-ItvCLH3AQBsOaZGUAo.G90ED8_2-92Km5e1AKq5QkPcX284o1AMMii1vhZ5m4Q&amp;dib_tag=se&amp;keywords=e%2Bstops&amp;qid=1763691959&amp;sprefix=e%2Bstops%2B%2Caps%2C221&amp;sr=8-5&amp;th=1</t>
  </si>
  <si>
    <t>logic level relays 4 channel 2pk</t>
  </si>
  <si>
    <t>https://www.amazon.com/ANMBEST-Channel-Optocoupler-Expansion-Raspberry/dp/B08PP8HXVD/ref=sr_1_6?crid=1QR0I3IU3MTA7&amp;dib=eyJ2IjoiMSJ9.HVMlK-MonrdchEzrKh5S7O1tDj6pFRUa8UGLE9Ym2m73OwwZHP6qyGKzQHuuSSdd1R7nBgZCbF_GI-9tNTzUtuyf2ZvOM0gk_sYMm4cZto8MEBRllZcn7shRHw999UlsdWj5Sws8fdbgLsKSBLBSUTCWvirQoXdmYNLhwgwSZqVReTNGFlty-Ms_TciXWzslgVjRLBWCbXAX8SjdVS4jV2A1IZadOx96bqmAsKE6Rwg.bIlmv8ms1L7l_0KOsrYcLkVikp2sURNMAW1E51ED55s&amp;dib_tag=se&amp;keywords=logic%2Blevel%2Brelays&amp;qid=1763096993&amp;sprefix=logic%2Blevel%2Brelay%2Caps%2C163&amp;sr=8-6&amp;th=1</t>
  </si>
  <si>
    <t>rocker switch with safety cover (spark kill, ign)</t>
  </si>
  <si>
    <t>https://www.amazon.com/Gebildet-12V-24V-Universal-Rocker-Waterproof/dp/B07KQ2R6G4/ref=sxin_14_pa_sp_search_thematic_sspa?content-id=amzn1.sym.d5a4c576-1444-4de3-bd17-3c25a21a3780%3Aamzn1.sym.d5a4c576-1444-4de3-bd17-3c25a21a3780&amp;crid=PLW6JB1T0SEG&amp;cv_ct_cx=ring%2Bterminal%2Btoggle%2Bswitch%2Bwith%2Bcap&amp;keywords=ring%2Bterminal%2Btoggle%2Bswitch%2Bwith%2Bcap&amp;pd_rd_i=B07KQ2R6G4&amp;pd_rd_r=53ef6bac-fa3f-4d46-ab42-4c0c5a7a8ea1&amp;pd_rd_w=ygeZj&amp;pd_rd_wg=tyaQm&amp;pf_rd_p=d5a4c576-1444-4de3-bd17-3c25a21a3780&amp;pf_rd_r=Q6ZPN7QDSBEK928W9X9W&amp;qid=1763097158&amp;sbo=RZvfv%2F%2FHxDF%2BO5021pAnSA%3D%3D&amp;sprefix=ring%2Bterminal%2Btoggle%2Bswitch%2Bwith%2Bcap%2Caps%2C143&amp;sr=1-2-6024b2a3-78e4-4fed-8fed-e1613be3bcce-spons&amp;aref=SHAPllaaLS&amp;sp_csd=d2lkZ2V0TmFtZT1zcF9zZWFyY2hfdGhlbWF0aWM&amp;th=1</t>
  </si>
  <si>
    <t>LED momentary pushbutton</t>
  </si>
  <si>
    <t>https://www.amazon.com/Gebildet-Stainless-Momentary-12V-24V-Waterproof/dp/B07YDHPDD7/ref=sr_1_2_sspa?crid=2TAPNWFP3G2SB&amp;dib=eyJ2IjoiMSJ9.aYNKzH33wqU5Wx4-SsM3rufi6d6frCmANNwoDs4UCVW2BC6YV-Om-5zZjwQJA2tr-0QqXMSejT4XffZgp5BdArJjMCYYdm5LEfTsPWclm0MUqPNwqwxl8pNYxH0KOjWfM1Wag4Rig5ur2Gya3lattOeBItJsnHJT6CS0ss2m5Cuh9ZsAwkgRrtCGfmE8TtDvhZyL9AziDqCNPJ-wbX1TG6z2RrfF2_f7wSzXMUVejZb0cGFS1iRL8IOidyURuq9XuyRSp3g62-zEa2NJsY3LXG6HCRmgrXp7_8ZzDeUGJmY.LaErtuuJJ5sihPXJi5eDrIvWiOYq6WzRfTkizJi25P0&amp;dib_tag=se&amp;keywords=led%2Bbutton&amp;qid=1763097237&amp;s=industrial&amp;sprefix=led%2Bbutton%2Cindustrial%2C181&amp;sr=1-2-spons&amp;sp_csd=d2lkZ2V0TmFtZT1zcF9hdGY&amp;th=1</t>
  </si>
  <si>
    <t>(speeduino sensor GND) bus bar</t>
  </si>
  <si>
    <t>https://www.amazon.com/RVBOATPAT-Distribution-Terminal-Battery-Automotive/dp/B0F6SC5C3Q/ref=sr_1_24?crid=G6UV4OAAS3VK&amp;dib=eyJ2IjoiMSJ9.4VF6TgTNJbcmv2DMd4jK7RGacQzKsz2aUQB07GPRX_2tKtzlPx6eUp0bxLkoGfFTb2hd9HO-ksrxlekB6NNwH8bnTdr6QpWjZlvZSiKuGz8fXEvuRU8XFYxJ-Ynqr1yKoAUw0C2KMxeN92mlZOf5lZPK6-huiyxKPUM9IqQjhj-YlsdeABzcxVb8IOpFBZrfi7HkEYGLZZDl29k_duj9WNqkzzEGvGwmJCHNiObvbzXooHMn3JbOKQxSmCDSRtdo-xN74Tc4-wlj-5-yesOg8bOeMjemNtYmq6IXx1E3P2s.hhwAAer9r9B3Ku40qDJe8a00VU_GiadGaulmJ4NxfHQ&amp;dib_tag=se&amp;keywords=small%2Bbus%2Bbars&amp;qid=1763097570&amp;s=industrial&amp;sprefix=small%2Bbus%2Bbar%2Cindustrial%2C183&amp;sr=1-24&amp;th=1</t>
  </si>
  <si>
    <t>ferrule connector kit (w/ crimpers) 7-22AWG</t>
  </si>
  <si>
    <t>https://www.amazon.com/KAIWEETS-Crimping-Self-adjustable-Terminals-Connectors/dp/B0BQ6LQ12G/ref=sr_1_1_sspa?crid=1DHEQM27TH7BQ&amp;dib=eyJ2IjoiMSJ9.LXoGEzKn7CqsSx0mNdHzUkcFRPJIOfNycTBNrFACOJiLmME3H5uqO0MKmEQf9_nsusnlbn2epuuiyGrNcCDj9dEIg9Wc-jhYKgfMq1LXQHS8ZkwpBh__qQj8TWwGLPo_zHmBgbefQ13kM03rysLbtvyPbhMuyclG5to0QclIU3-ISrfGMgjFQD1NzdEu4QP-w8F-W0_6hr7VXXN6c5cSKxXdQ-zvnktEBMSIt0cIV9a-V0O0FGpPsOdQtiElNxMLs--B2mGsxccDjjdC2VTO04NT7bV_JijWCy1m-69d7p4.C-9Fe4fLPEY_3F6imwAPF7TiYBsHYp5hgGouB11GGUw&amp;dib_tag=se&amp;keywords=ferrule+connector+kit+rectangle+crimp&amp;qid=1763097868&amp;s=industrial&amp;sprefix=ferrule+connector+kit+rectangle+crimp%2Cindustrial%2C127&amp;sr=1-1-spons&amp;sp_csd=d2lkZ2V0TmFtZT1zcF9hdGY&amp;psc=1</t>
  </si>
  <si>
    <t>PET wire loom (1/2 and 1/4in 25 ft each)</t>
  </si>
  <si>
    <t>https://www.amazon.com/Keco-100ft-Expandable-Braided-Sleeving/dp/B08CKRLS2M/ref=sxin_14_pa_sp_search_thematic_sspa?content-id=amzn1.sym.7f348b0b-9186-427b-9468-a5e99d647fd3%3Aamzn1.sym.7f348b0b-9186-427b-9468-a5e99d647fd3&amp;crid=3C8NJDAWB8EIE&amp;cv_ct_cx=automotive%2Bgrade%2Bwire%2Bsleeving&amp;keywords=automotive%2Bgrade%2Bwire%2Bsleeving&amp;pd_rd_i=B07K1XJNJN&amp;pd_rd_r=bb81ef38-c603-4b4e-a0ca-20a076b11a76&amp;pd_rd_w=QzUsr&amp;pd_rd_wg=4qrNJ&amp;pf_rd_p=7f348b0b-9186-427b-9468-a5e99d647fd3&amp;pf_rd_r=EE0PPWFCK5SDXKF220KC&amp;qid=1763098104&amp;sbo=RZvfv%2F%2FHxDF%2BO5021pAnSA%3D%3D&amp;sprefix=automotive%2Bgradewire%2Bsleeving%2Caps%2C153&amp;sr=1-1-e169343e-09af-4d41-85b1-8335fe8f32d0-spons&amp;aref=b709ee91RI&amp;sp_csd=d2lkZ2V0TmFtZT1zcF9zZWFyY2hfdGhlbWF0aWM&amp;th=1</t>
  </si>
  <si>
    <t>PCB to wire connectors (BT, start, 5V, GND, relay)</t>
  </si>
  <si>
    <t>https://www.amazon.com/Connector-pre-crimped-Housing-Adapter-Compatible/dp/B08G188ZQ8/ref=sr_1_3?crid=R5MFFLBZ349E&amp;dib=eyJ2IjoiMSJ9.vqwhOlzn8obGumd1UeuxmgHc-QUoXvijYsdC2rTJk0g0udAJwmj-jatmZD0eKGb8hG0KDv44-9Z6lJ2MajZJInqjWbOA7ulNzf6rTJUj48zlsNKAHurkhW4EgzKPktqLxy4F9U-gswuOdwmMMyeNUde2IYjmXgxhr6da28FUPbxoPLXiT9Y7WFpARjGPwSYSbd7ckCn6GChnLeF9IVevCRs8DPB2c6L6fe3lnaXfJGM.Rizwm6vC3wJIa783pnqk-kkeWW9VISAhPKLEo0uHcjg&amp;dib_tag=se&amp;keywords=PCb%2Bto%2Bwire%2Bconnectors&amp;qid=1763098568&amp;sprefix=pcb%2Bto%2Bwire%2Bconnector%2Caps%2C164&amp;sr=8-3&amp;th=1</t>
  </si>
  <si>
    <t>12 AWG 12 ft</t>
  </si>
  <si>
    <t>https://www.wiringdepot.com/store/p/669-Automotive-Primary-Wire-12-AWG-12-Ft-Cut.aspx</t>
  </si>
  <si>
    <t>16 AWG 20 ft</t>
  </si>
  <si>
    <t>https://www.wiringdepot.com/store/p/677-Automotive-Primary-Wire-16-AWG-20-Ft-Cut.aspx</t>
  </si>
  <si>
    <t>22 AWG 23 ft (BLACK, RED, YELLOW)</t>
  </si>
  <si>
    <t>https://www.amazon.com/DAOKAI-Silicone-Stranded-Electrical-Printer/dp/B09TK155BW/ref=sr_1_6?crid=290JBB5I0YWWC&amp;dib=eyJ2IjoiMSJ9.1WB9Nk1mh6m_y-1X983ZL1BXswQthvEviZaYNUh_jMwwg1xnUeb4w88exsCMfVTAbljKZa73qNefmx4TCNysIYql5KFSaUEyoYKPKFbao_8SnWSyCHHvcwk4aDnimKYEMGVzTf2FiANbjRQQsRRH-KrS-qMOlfji93m6dYZuzuNc90mE52rrhk48YCg77LhFekOF8WCCRX60lnR7yWVPwNwMYt8JmqzO5rNSnJS1mh2CoOYflqbFg824a0EF1uDI5zu4jOjMSqiQCxEVZFalIml44owEkizzx-aRn9-jCU8.X9uS2MJ6cu38fGvuUVRa037Xw9mUqhffaT6gXmGFTW4&amp;dib_tag=se&amp;keywords=22%2BAWG%2BPrimary%2BCopper%2Bthree%2Bcolors&amp;qid=1763261333&amp;s=industrial&amp;sprefix=22%2Bawg%2Bprimary%2Bcopper%2Bthree%2Bcolor%2Cindustrial%2C198&amp;sr=1-6&amp;th=1</t>
  </si>
  <si>
    <t>4 AWG 25 ft each (BLACK, RED)</t>
  </si>
  <si>
    <t>https://www.amazon.com/Gauge-Copper-Aluminum-Terminal-Connectors/dp/B0CJQZ4FBQ/ref=sr_1_5?dib=eyJ2IjoiMSJ9.-t52xrQboyc4hTN0cNQSjNuCeWe9XYM756_gSeJNoK1ZGB0P2OMSV26Ek-i4ZkALey0lkHf5vz3P--D7un61Qw-_5PG-egTdUwDQ2NidZKgGNac5c85cY8ua5EF9rJuv3pppAQBMO1jzQ6yux5X2S53--lUbwoiVUNR95LjV9VDlA3wnbhKTw81FQg9WxWXBhzvEx1_JeW1IrEm3a1C9P7gP94YbduX8a3NArH4835s.tM_oRPtvB2nhkt5cj7kF2pTbquQdtpx8w6i-9Aowugk&amp;dib_tag=se&amp;hvadid=174247234454&amp;hvdev=c&amp;hvexpln=0&amp;hvlocphy=9032032&amp;hvnetw=g&amp;hvocijid=4822685580562180589--&amp;hvqmt=e&amp;hvrand=4822685580562180589&amp;hvtargid=kwd-40160203584&amp;hydadcr=24656_9648981&amp;keywords=battery%2Bcable%2B4%2Bawg&amp;mcid=5f578bcfade63ee49742494cf237d0bf&amp;qid=1763261814&amp;sr=8-5&amp;th=1</t>
  </si>
  <si>
    <t>BATTERY 12V LiPO4 w/ BMS 90A peak 30A cont.</t>
  </si>
  <si>
    <t>https://newportvessels.com/products/newport-12v-30ah-lithium-battery?variant=51646900207983&amp;utm_source=chatgpt.com</t>
  </si>
  <si>
    <t>Victron 12V 5A charger</t>
  </si>
  <si>
    <t>https://expion360.com/products/blue-smart-ip65-charger-6v-12v-1-1-120v-nema-1-16?variant=46345786556579&amp;country=US&amp;currency=USD&amp;utm_medium=product_sync&amp;utm_source=google&amp;utm_content=sag_organic&amp;utm_campaign=sag_organic&amp;gad_source=1&amp;gad_campaignid=23072913021&amp;gbraid=0AAAAACkQ-wQaizPXNU7NfjuOtllyOeVXL&amp;gclid=Cj0KCQiAiebIBhDmARIsAE8PGNJiM9JCZYUVNxZccfRCKTp8pmZi1pgAKHB_ApyhcJvnttKQHZf99ywaArRxEALw_wcB</t>
  </si>
  <si>
    <t>terminal clamp M10</t>
  </si>
  <si>
    <t>https://www.amazon.com/Uenede-Connectors-Terminals-Application-Motorcycles/dp/B0D3D4MXXS/ref=sr_1_4?crid=1LEV4V70WG99C&amp;dib=eyJ2IjoiMSJ9.GINqt5DaowFi24XVGPMtljL_7JwJYpEQ57WXRXPjwWwxBEXlsXnBEZznrgoFAO2_Keh3vLtsklAJjoyjiWH2Ycj1lgt4dD3U0AMw0Hid22cbIF863_hCW-1vulN16SsKZHezIbDJgpZLStSjZBg6_078HDcBhq-bp6QYDmLFM__fCpuOYHJnxMAl60cDOZWlyKbPxL53wzQUUclg2pLvFqLUvxiyg64ZvAMMrqMORMY.GeAIbHgdqaVV5ogb5y-jekowLHT0VnosIczbxE74bM4&amp;dib_tag=se&amp;keywords=clamp+to+M10+battery+cable&amp;qid=1763331984&amp;sprefix=clamp+to+m10+battery+cable%2Caps%2C188&amp;sr=8-4</t>
  </si>
  <si>
    <t>M6 battery post</t>
  </si>
  <si>
    <t>https://www.amazon.com/XS-Power-586-Adaptor-Thread/dp/B004XH69MY/ref=sr_1_3?crid=1R35W9MDXXYBI&amp;dib=eyJ2IjoiMSJ9.0w4IRANTM4fx7jzQIgeWHOZp95ZwvQi2RYKtkQDQ2_kWP4U4Xwq7cgk3xb-NIfvTKQ98HMD0HN3MkPeK6YvyRv7aGM3cz-cWQhqNcjNyk-NOR0krq6CREoYveffg_Pr5LHML3cWB66QMkdzT4TGRmxCMO3RsAX5NyD_vAgNeVnTU6z9bFJ1DD_HRwbnguX64RHtQuLhQ5lnucj2AfUTs0_01beBfSzNB7OryNqoIWKo.pZ2wpnnBpsaXoohZSU9hHib6QCSPaupzhNww3-c-53A&amp;dib_tag=se&amp;keywords=m6+battery+post&amp;qid=1763333285&amp;sprefix=m6+batteyr+pos%2Caps%2C240&amp;sr=8-3</t>
  </si>
  <si>
    <t>terminal post boot</t>
  </si>
  <si>
    <t>https://www.amazon.com/Ohleats-Battery-Terminal-Cover-Accessories/dp/B0D2Q3PM2K/ref=sr_1_3?crid=2RTJZH2TZ55RN&amp;dib=eyJ2IjoiMSJ9.a-PRBxj9j_A_Fqf1FDPP_yz6ybi0GBFLmhlQUC8LDrW3CMzWAooKcmQ-HUE6Nlh777wWgl2pBxzAXM3sHErfxNIRlHgB5dkqUIAjJ2Y-qhIie04Uvy9zbD04CicjRqDC_hdfgjHyaYq4phFRjtzPborixdsw3Ct4HqOtSx5JC3IhbcGn8qXUSo2NH0GKpGBAKD-LLZSv3Dw43aHKcHI50OOHFeJCFuOjhszMLPl5AFs.lmc_6NlZ6Z-baieoKoemulD_CigdcnZAmxvwVsJoYeU&amp;dib_tag=se&amp;keywords=battery%2Bterminal%2Bconnector%2Bboot&amp;qid=1763333382&amp;sprefix=batterterminal%2Bconnector%2Bboot%2Caps%2C172&amp;sr=8-3&amp;th=1</t>
  </si>
  <si>
    <t xml:space="preserve">snail horn </t>
  </si>
  <si>
    <t>https://www.amazon.com/Waterproof-Electric-Motorcycle-scooter-mopeds/dp/B08R5RWFS4/ref=sr_1_1_sspa?crid=2CGS814DE4N1&amp;dib=eyJ2IjoiMSJ9.p_QkEX5rdsFPstbun4-QOwsbbeH-lhaQBfPgbC0YIpDzLGKMv474iMSudRRkdMvShqWSlssKL8-635aO8Hz5MbrM2yrE1q3HfbGG0MzlCJbibxh_hELPv0XbQ7S6XXP00-M-AeI8KfXo6dpRmGgsVQn2k3H7RWdQcZVlG1FYkT2H7erif5El-CCa5RnQc0JoP99jGWcJrmrRwxZvTTD6ls2xUW-_v-lLwOQL_VDbxh0.n93z0O_1abHVKFVumzq80HMzjjfPajAHqxjWgqFzRJA&amp;dib_tag=se&amp;keywords=car%2Bhorn&amp;qid=1763340846&amp;sprefix=car%2Bhorn%2Caps%2C252&amp;sr=8-1-spons&amp;sp_csd=d2lkZ2V0TmFtZT1zcF9hdGY&amp;th=1</t>
  </si>
  <si>
    <t>momentary push button (for horn)</t>
  </si>
  <si>
    <t>https://www.amazon.com/Daiertek-Momentary-Switch-Waterproof-Toggle/dp/B07RX68J5B/ref=sr_1_1_sspa?crid=XB961CZRLKG9&amp;dib=eyJ2IjoiMSJ9.-EwYSKttLicYOz0OuZM5z_QF8UhUKzsJItVbeyD_iqDG-uSWKswleL9wURlAtMXivTc0RNEOPge7pzAhvfijCheWzMSxvSGaCr9z21Z0fpRbHGHpJIQwsDW6zPztbJTZiEu0x1_MMAIMl7a_qMy202tRov7ksbd1PmwvO0Rleh_ByFBYL7AIEDQFaOwH3x8Wr8_JH1wZK0AAWMCJIu7OPhi4Z55s0u0YgPFj_GTc3Ho.K2lGJwAMWtBsY94wmi2EoZMZVuANTXWL9NRsRQUHIsY&amp;dib_tag=se&amp;keywords=horn%2Brocker%2Bswitch&amp;qid=1763342096&amp;sprefix=horn%2Brockerswitch%2Caps%2C216&amp;sr=8-1-spons&amp;sp_csd=d2lkZ2V0TmFtZT1zcF9hdGY&amp;th=1</t>
  </si>
  <si>
    <t>wago connectors</t>
  </si>
  <si>
    <t>https://www.amazon.com/Compact-Splicing-Connector-Assortment-221-2401/dp/B0CJ5QF4Z2/ref=sr_1_6?crid=2YIE20UVRP4VA&amp;dib=eyJ2IjoiMSJ9.KWNqCc7qud-eoD1-I3ZSKnXJETGv0gNv0JO9gwlCGbasZXdkG6C5vE7z4Z2GTCh9sFYe6qnFLEX1SfWH2ZkKnjTtwKg_xsOEyHnI0ID_eGi4wxx8sAF7SjE72-CUCB3vTKDHZgW1LySKwGbY8PFBt992s5ccwtKrZFHrGwGl9MAExIU_jFjUy3mSssxD8etHrpdaM5qwKXbb3fT8Qn_sjhz4h7H36PvXuQgsdE1BmA_hbLirdfeloY2qHBpIqQSn9XFXJu5o1Y2zQcKpTWub1IZQXADWoAgtm-Y7cueZSIQ.ckHcTJOq0KSK5Jh7PFUzL9kUTlHfNteSuJeDMOgQ_sg&amp;dib_tag=se&amp;keywords=wago%2Bconnector&amp;qid=1763342334&amp;sprefix=wago%2Bconnecto%2Caps%2C226&amp;sr=8-6&amp;th=1</t>
  </si>
  <si>
    <t>speedometer HUD</t>
  </si>
  <si>
    <t>https://www.amazon.com/GUGUMO-Speedometer-Universal-Automatic-Vibration/dp/B0CSYYWXFS/ref=sr_1_3?crid=ACVHOXNNSFX6&amp;dib=eyJ2IjoiMSJ9.FgeTsWmRjRDfXBPkKx2j_Y4DRBznx_Gq0qULZYJnYy-42GppeHraDH21QHfFI_92WWPR8mqXJIoE_m1zfl_R6Jsywk7kchjv5XccikGRk36F0mxZB0jN0nFeJ2Xa3vB0x5XTgneoAeNsd3bopczIgLS7IfKKCm29znLEBifHIezxfXi6ElnQ9_N9L7PjRPZiOe2nP3FMtW0HYtC8m_vOfVg9J0OEABTQRvt-V6JqiJc.xjQ1pChO6pdt3a9KJpCdexz7riNEmXPGMyy2Hpivbzg&amp;dib_tag=se&amp;keywords=speedometer&amp;qid=1767264630&amp;sprefix=speedomete%2Caps%2C710&amp;sr=8-3&amp;th=1</t>
  </si>
  <si>
    <t>DC 12V to 2x USB (for charger and speedometer)</t>
  </si>
  <si>
    <t>https://www.amazon.com/YIPIN-HEXHA-Converter-Female-Adapter/dp/B0B24MF21J/ref=sr_1_2_sspa?dib=eyJ2IjoiMSJ9.UWPTO5EhtC6OTZIMfzFKvU-VOuoBfwMHyGK77eBRACFOUSK0XHDkhQ3DejKsmuh7TI43YqW5rkCCObvnknMNvphjCCJTZ4qb39V1iptgy83aNWEnMqfafAVLiUPdak8LeFlXE5ZnXwUAnyiG3wUCGBQM_pa5ncVS31v3HLh1TLybC7UD3LJz7NP5SG89QOil2zIXHPPXHI2lEHrwAVqiyI8s-YGLoS-qMZeIXjc36VU.plymJTz-vDXERThUa8CANLngZ5i6n_JDSEpVjMmY2po&amp;dib_tag=se&amp;hvadid=616861174053&amp;hvdev=c&amp;hvexpln=0&amp;hvlocint=9032048&amp;hvlocphy=1007785&amp;hvnetw=g&amp;hvocijid=7206860832205631593--&amp;hvqmt=e&amp;hvrand=7206860832205631593&amp;hvtargid=kwd-740526980844&amp;hydadcr=19105_13454512&amp;keywords=12v%2Bto%2Busb%2Bbuck&amp;mcid=4c1bb97c3ed5358f9d0fb7aafb2f4b8a&amp;qid=1767264822&amp;sr=8-2-spons&amp;sp_csd=d2lkZ2V0TmFtZT1zcF9hdGY&amp;th=1</t>
  </si>
  <si>
    <t>Hydraulic Crimper AWG 12-2/0</t>
  </si>
  <si>
    <t>https://www.amazon.com/dp/B0F8HFWPX5?ref=cm_sw_r_cso_sms_apin_dp_54KQTZ89TNWF69GNZ1A9&amp;ref_=cm_sw_r_cso_sms_apin_dp_54KQTZ89TNWF69GNZ1A9&amp;social_share=cm_sw_r_cso_sms_apin_dp_54KQTZ89TNWF69GNZ1A9&amp;titleSource=true&amp;th=1</t>
  </si>
  <si>
    <t>Ratchet Crimper AWG 22-6</t>
  </si>
  <si>
    <t>https://www.amazon.com/dp/B0FLCTSN8K?ref=cm_sw_r_cso_sms_apin_dp_XQQE1QR6QZB2QE1WFSF8&amp;ref_=cm_sw_r_cso_sms_apin_dp_XQQE1QR6QZB2QE1WFSF8&amp;social_share=cm_sw_r_cso_sms_apin_dp_XQQE1QR6QZB2QE1WFSF8&amp;titleSource=true&amp;th=1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</si>
</sst>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b/>
      <u/>
      <color theme="1"/>
      <name val="Arial"/>
      <scheme val="minor"/>
    </font>
    <font>
      <u/>
      <color rgb="FF0000FF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rgb="FFFFFFFF"/>
      <name val="Arial"/>
      <scheme val="minor"/>
    </font>
    <font>
      <u/>
      <color rgb="FF0000FF"/>
    </font>
    <font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1" xfId="0" applyAlignment="1" applyFont="1" applyNumberFormat="1">
      <alignment readingOrder="0"/>
    </xf>
    <xf borderId="0" fillId="0" fontId="5" numFmtId="164" xfId="0" applyFont="1" applyNumberFormat="1"/>
    <xf borderId="0" fillId="0" fontId="6" numFmtId="0" xfId="0" applyAlignment="1" applyFont="1">
      <alignment readingOrder="0"/>
    </xf>
    <xf borderId="0" fillId="0" fontId="7" numFmtId="164" xfId="0" applyFont="1" applyNumberFormat="1"/>
    <xf borderId="0" fillId="3" fontId="8" numFmtId="164" xfId="0" applyFill="1" applyFont="1" applyNumberFormat="1"/>
    <xf borderId="0" fillId="0" fontId="9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0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11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5" numFmtId="49" xfId="0" applyFont="1" applyNumberFormat="1"/>
    <xf borderId="0" fillId="0" fontId="5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arush Garg" id="{68dcd925-b5b7-4312-975c-b6d358af3189}" providerId="google-sheets"/>
  <x18tc:person displayName="Foothill SuperMileage" id="{6e93aa13-cab0-41c7-8351-e851d16d1bb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9" dT="2026-01-07T20:51:47.00" personId="{68dcd925-b5b7-4312-975c-b6d358af3189}" id="{7438f738-6b2b-4f52-9ee3-43e784af4999}" done="0">
    <x18tc:text xml:space="preserve">anand do we need this</x18tc:text>
  </x18tc:threadedComment>
  <x18tc:threadedComment ref="B39" dT="2026-01-07T20:52:01.00" personId="{68dcd925-b5b7-4312-975c-b6d358af3189}" id="{5eac794e-0ebd-414a-9c4c-4ab09232a2ac}" parentId="{7438f738-6b2b-4f52-9ee3-43e784af4999}">
    <x18tc:text xml:space="preserve">it has its own GPS and works and stuff then we don't need anything else</x18tc:text>
  </x18tc:threadedComment>
  <x18tc:threadedComment ref="B32" dT="2025-11-20T00:51:18.00" personId="{68dcd925-b5b7-4312-975c-b6d358af3189}" id="{80f292a5-214e-487d-b48e-6ab1a964d730}" done="0">
    <x18tc:text xml:space="preserve">AP SAID HE'll find one</x18tc:text>
  </x18tc:threadedComment>
  <x18tc:threadedComment ref="B32" dT="2025-11-20T00:51:24.00" personId="{68dcd925-b5b7-4312-975c-b6d358af3189}" id="{4a25ca24-3a1b-4135-8811-b741c036a0b7}" parentId="{80f292a5-214e-487d-b48e-6ab1a964d730}">
    <x18tc:text xml:space="preserve">for cheaper</x18tc:text>
  </x18tc:threadedComment>
  <x18tc:threadedComment ref="B16" dT="2025-11-14T05:54:15.00" personId="{68dcd925-b5b7-4312-975c-b6d358af3189}" id="{5a22049a-1867-4078-8e53-a91ca9312ee3}" done="0">
    <x18tc:text xml:space="preserve">figure this out in the diagram</x18tc:text>
  </x18tc:threadedComment>
  <x18tc:threadedComment ref="A1" dT="2025-11-16T02:33:39.00" personId="{68dcd925-b5b7-4312-975c-b6d358af3189}" id="{14cf634f-31c3-4fa9-a0c6-43f8443bcf9d}" done="0">
    <x18tc:text xml:space="preserve">get a BLACK one (and whatever's on sale but same length as other one)</x18tc:text>
  </x18tc:threadedComment>
  <x18tc:threadedComment ref="B23" dT="2025-11-14T05:55:59.00" personId="{68dcd925-b5b7-4312-975c-b6d358af3189}" id="{9f4617b6-db0b-4d94-b399-7e1100331ff1}" done="0">
    <x18tc:text xml:space="preserve">not automotive grade but its still PET</x18tc:text>
  </x18tc:threadedComment>
  <x18tc:threadedComment ref="B18" dT="2025-11-14T05:54:32.00" personId="{68dcd925-b5b7-4312-975c-b6d358af3189}" id="{1df7ffd5-e81f-45cc-9574-496bc96f2d47}" done="0">
    <x18tc:text xml:space="preserve">3d print enclosure for this</x18tc:text>
  </x18tc:threadedComment>
  <x18tc:threadedComment ref="B25" dT="2025-11-16T02:53:17.00" personId="{68dcd925-b5b7-4312-975c-b6d358af3189}" id="{c8e98f00-0e72-4a6f-a04e-fd4d234863d1}" done="0">
    <x18tc:text xml:space="preserve">GET RED</x18tc:text>
  </x18tc:threadedComment>
  <x18tc:threadedComment ref="B11" dT="2025-11-16T22:53:37.00" personId="{68dcd925-b5b7-4312-975c-b6d358af3189}" id="{1ef99a09-6ec2-4a8a-a950-fea9ba184d05}" done="0">
    <x18tc:text xml:space="preserve">we need a crimping tool that works with 4-22 AWG</x18tc:text>
  </x18tc:threadedComment>
  <x18tc:threadedComment ref="B27" dT="2025-11-16T02:53:21.00" personId="{68dcd925-b5b7-4312-975c-b6d358af3189}" id="{fa18c60c-e4d7-46b7-973f-2a6748e2b110}" done="0">
    <x18tc:text xml:space="preserve">GET RED</x18tc:text>
  </x18tc:threadedComment>
  <x18tc:threadedComment ref="B28" dT="2025-11-16T02:53:37.00" personId="{68dcd925-b5b7-4312-975c-b6d358af3189}" id="{107e24a3-fed7-46db-bd52-9da609072528}" done="0">
    <x18tc:text xml:space="preserve">GET BLACK</x18tc:text>
  </x18tc:threadedComment>
  <x18tc:threadedComment ref="B10" dT="2025-11-14T05:55:29.00" personId="{68dcd925-b5b7-4312-975c-b6d358af3189}" id="{c9bc1e7b-1f4c-4f6c-a9ea-e9512902392f}" done="0">
    <x18tc:text xml:space="preserve">spray paint one red</x18tc:text>
  </x18tc:threadedComment>
  <x18tc:threadedComment ref="B31" dT="2025-11-16T21:54:49.00" personId="{68dcd925-b5b7-4312-975c-b6d358af3189}" id="{781e46bb-1574-422b-b19e-6cc04a937534}" done="0">
    <x18tc:text xml:space="preserve">AND ITS ONLY 7lbs with 30Ah capacity!!</x18tc:text>
  </x18tc:threadedComment>
  <x18tc:threadedComment ref="B26" dT="2025-11-16T02:53:39.00" personId="{68dcd925-b5b7-4312-975c-b6d358af3189}" id="{e44c4eda-28ff-47b9-8f99-4c92bb04c0f2}" done="0">
    <x18tc:text xml:space="preserve">GET BLACK</x18tc:text>
  </x18tc:threadedComment>
  <x18tc:threadedComment ref="B36" dT="2025-11-17T01:13:44.00" personId="{68dcd925-b5b7-4312-975c-b6d358af3189}" id="{b6e926c1-25d9-48bd-881a-9827a004646d}" done="0">
    <x18tc:text xml:space="preserve">https://hornblasters.com/collections/air-horn-kits/products/spocker-3-liter-horn-kit	
or
https://www.amazon.com/Hella-Stark-109-23-37-Frequency-12-volt/dp/B00ASK3BP8/ref=sr_1_15?crid=3QKP1AVUCUOFT&amp;dib=eyJ2IjoiMSJ9.p_QkEX5rdsFPstbun4-QOwsbbeH-lhaQBfPgbC0YIpDzLGKMv474iMSudRRkdMvShqWSlssKL8-635aO8Hz5MbrM2yrE1q3HfbGG0MzlCJbibxh_hELPv0XbQ7S6XXP00-M-AeI8KfXo6dpRmGgsVQn2k3H7RWdQcZVlG1FYkT2H7erif5El-CCa5RnQc0JoP99jGWcJrmrRwxZvTTD6ls2xUW-_v-lLwOQL_VDbxh0.n93z0O_1abHVKFVumzq80HMzjjfPajAHqxjWgqFzRJA&amp;dib_tag=se&amp;keywords=car+horn&amp;qid=1763340783&amp;sprefix=carhorn%2Caps%2C186&amp;sr=8-15</x18tc:text>
    <x18tc:extLst>
      <ext uri="{F7C98A9C-CBB3-438F-8F68-D28B6AF4A901}">
        <xltc2:checksum/>
        <xltc2:hyperlink startIndex="0" length="84" url="https://hornblasters.com/collections/air-horn-kits/products/spocker-3-liter-horn-kit"/>
        <xltc2:hyperlink startIndex="91" length="484" url="https://www.amazon.com/Hella-Stark-109-23-37-Frequency-12-volt/dp/B00ASK3BP8/ref=sr_1_15?crid=3QKP1AVUCUOFT&amp;dib=eyJ2IjoiMSJ9.p_QkEX5rdsFPstbun4-QOwsbbeH-lhaQBfPgbC0YIpDzLGKMv474iMSudRRkdMvShqWSlssKL8-635aO8Hz5MbrM2yrE1q3HfbGG0MzlCJbibxh_hELPv0XbQ7S6XXP00-M-AeI8KfXo6dpRmGgsVQn2k3H7RWdQcZVlG1FYkT2H7erif5El-CCa5RnQc0JoP99jGWcJrmrRwxZvTTD6ls2xUW-_v-lLwOQL_VDbxh0.n93z0O_1abHVKFVumzq80HMzjjfPajAHqxjWgqFzRJA&amp;dib_tag=se&amp;keywords=car+horn&amp;qid=1763340783&amp;sprefix=carhorn%2Caps%2C186&amp;sr=8-15"/>
      </ext>
    </x18tc:extLst>
  </x18tc:threadedComment>
  <x18tc:threadedComment ref="B36" dT="2025-11-20T03:50:18.00" personId="{6e93aa13-cab0-41c7-8351-e851d16d1bb3}" id="{c67e70c7-73ed-4493-8677-5f44e584166b}" parentId="{b6e926c1-25d9-48bd-881a-9827a004646d}">
    <x18tc:text xml:space="preserve">these should come w battery if we postponing electronic parts</x18tc:text>
  </x18tc:threadedComment>
  <x18tc:threadedComment ref="B1" dT="2025-11-14T05:32:47.00" personId="{68dcd925-b5b7-4312-975c-b6d358af3189}" id="{5da820cf-8ae3-4264-befd-852503495d7c}" done="0">
    <x18tc:text xml:space="preserve">STILL NEED TO ADD WIRE</x18tc:text>
  </x18tc:threadedComment>
  <x18tc:threadedComment ref="B1" dT="2025-11-14T05:37:42.00" personId="{68dcd925-b5b7-4312-975c-b6d358af3189}" id="{d6072153-78d5-4c61-97a2-fe68ff1a4daa}" parentId="{5da820cf-8ae3-4264-befd-852503495d7c}">
    <x18tc:text xml:space="preserve">added solenoid and starter motor to josh's drivetrain list cuz its more relevant</x18tc:text>
  </x18tc:threadedComment>
  <x18tc:threadedComment ref="B1" dT="2025-11-14T05:40:38.00" personId="{68dcd925-b5b7-4312-975c-b6d358af3189}" id="{1239dbf5-39e4-459d-b572-6afd364e6e3a}" parentId="{5da820cf-8ae3-4264-befd-852503495d7c}">
    <x18tc:text xml:space="preserve">also im sure we have a crimping tool right?</x18tc:text>
  </x18tc:threadedComment>
  <x18tc:threadedComment ref="A1" dT="2025-11-16T02:30:46.00" personId="{68dcd925-b5b7-4312-975c-b6d358af3189}" id="{b3ec1ce5-780d-4d16-b63c-3a0ec7825a3f}" done="0">
    <x18tc:text xml:space="preserve">IDK HOW LONG YET</x18tc:text>
  </x18tc:threadedComment>
  <x18tc:threadedComment ref="A1" dT="2025-11-16T02:33:15.00" personId="{68dcd925-b5b7-4312-975c-b6d358af3189}" id="{91b7e63d-357b-4faa-8134-692289be47b9}" parentId="{b3ec1ce5-780d-4d16-b63c-3a0ec7825a3f}">
    <x18tc:text xml:space="preserve">GET A RED ONE (whatever length on sale)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Compact-Splicing-Connector-Assortment-221-2401/dp/B0CJ5QF4Z2/ref=sr_1_6?crid=2YIE20UVRP4VA&amp;dib=eyJ2IjoiMSJ9.KWNqCc7qud-eoD1-I3ZSKnXJETGv0gNv0JO9gwlCGbasZXdkG6C5vE7z4Z2GTCh9sFYe6qnFLEX1SfWH2ZkKnjTtwKg_xsOEyHnI0ID_eGi4wxx8sAF7SjE72-CUCB3vTKDHZgW1LySKwGbY8PFBt992s5ccwtKrZFHrGwGl9MAExIU_jFjUy3mSssxD8etHrpdaM5qwKXbb3fT8Qn_sjhz4h7H36PvXuQgsdE1BmA_hbLirdfeloY2qHBpIqQSn9XFXJu5o1Y2zQcKpTWub1IZQXADWoAgtm-Y7cueZSIQ.ckHcTJOq0KSK5Jh7PFUzL9kUTlHfNteSuJeDMOgQ_sg&amp;dib_tag=se&amp;keywords=wago%2Bconnector&amp;qid=1763342334&amp;sprefix=wago%2Bconnecto%2Caps%2C226&amp;sr=8-6&amp;th=1" TargetMode="External"/><Relationship Id="rId20" Type="http://schemas.openxmlformats.org/officeDocument/2006/relationships/hyperlink" Target="https://www.amazon.com/ANMBEST-Channel-Optocoupler-Expansion-Raspberry/dp/B08PP8HXVD/ref=sr_1_6?crid=1QR0I3IU3MTA7&amp;dib=eyJ2IjoiMSJ9.HVMlK-MonrdchEzrKh5S7O1tDj6pFRUa8UGLE9Ym2m73OwwZHP6qyGKzQHuuSSdd1R7nBgZCbF_GI-9tNTzUtuyf2ZvOM0gk_sYMm4cZto8MEBRllZcn7shRHw999UlsdWj5Sws8fdbgLsKSBLBSUTCWvirQoXdmYNLhwgwSZqVReTNGFlty-Ms_TciXWzslgVjRLBWCbXAX8SjdVS4jV2A1IZadOx96bqmAsKE6Rwg.bIlmv8ms1L7l_0KOsrYcLkVikp2sURNMAW1E51ED55s&amp;dib_tag=se&amp;keywords=logic%2Blevel%2Brelays&amp;qid=1763096993&amp;sprefix=logic%2Blevel%2Brelay%2Caps%2C163&amp;sr=8-6&amp;th=1" TargetMode="External"/><Relationship Id="rId42" Type="http://schemas.openxmlformats.org/officeDocument/2006/relationships/hyperlink" Target="https://www.amazon.com/YIPIN-HEXHA-Converter-Female-Adapter/dp/B0B24MF21J/ref=sr_1_2_sspa?dib=eyJ2IjoiMSJ9.UWPTO5EhtC6OTZIMfzFKvU-VOuoBfwMHyGK77eBRACFOUSK0XHDkhQ3DejKsmuh7TI43YqW5rkCCObvnknMNvphjCCJTZ4qb39V1iptgy83aNWEnMqfafAVLiUPdak8LeFlXE5ZnXwUAnyiG3wUCGBQM_pa5ncVS31v3HLh1TLybC7UD3LJz7NP5SG89QOil2zIXHPPXHI2lEHrwAVqiyI8s-YGLoS-qMZeIXjc36VU.plymJTz-vDXERThUa8CANLngZ5i6n_JDSEpVjMmY2po&amp;dib_tag=se&amp;hvadid=616861174053&amp;hvdev=c&amp;hvexpln=0&amp;hvlocint=9032048&amp;hvlocphy=1007785&amp;hvnetw=g&amp;hvocijid=7206860832205631593--&amp;hvqmt=e&amp;hvrand=7206860832205631593&amp;hvtargid=kwd-740526980844&amp;hydadcr=19105_13454512&amp;keywords=12v%2Bto%2Busb%2Bbuck&amp;mcid=4c1bb97c3ed5358f9d0fb7aafb2f4b8a&amp;qid=1767264822&amp;sr=8-2-spons&amp;sp_csd=d2lkZ2V0TmFtZT1zcF9hdGY&amp;th=1" TargetMode="External"/><Relationship Id="rId41" Type="http://schemas.openxmlformats.org/officeDocument/2006/relationships/hyperlink" Target="https://www.amazon.com/GUGUMO-Speedometer-Universal-Automatic-Vibration/dp/B0CSYYWXFS/ref=sr_1_3?crid=ACVHOXNNSFX6&amp;dib=eyJ2IjoiMSJ9.FgeTsWmRjRDfXBPkKx2j_Y4DRBznx_Gq0qULZYJnYy-42GppeHraDH21QHfFI_92WWPR8mqXJIoE_m1zfl_R6Jsywk7kchjv5XccikGRk36F0mxZB0jN0nFeJ2Xa3vB0x5XTgneoAeNsd3bopczIgLS7IfKKCm29znLEBifHIezxfXi6ElnQ9_N9L7PjRPZiOe2nP3FMtW0HYtC8m_vOfVg9J0OEABTQRvt-V6JqiJc.xjQ1pChO6pdt3a9KJpCdexz7riNEmXPGMyy2Hpivbzg&amp;dib_tag=se&amp;keywords=speedometer&amp;qid=1767264630&amp;sprefix=speedomete%2Caps%2C710&amp;sr=8-3&amp;th=1" TargetMode="External"/><Relationship Id="rId22" Type="http://schemas.openxmlformats.org/officeDocument/2006/relationships/hyperlink" Target="https://www.amazon.com/Gebildet-Stainless-Momentary-12V-24V-Waterproof/dp/B07YDHPDD7/ref=sr_1_2_sspa?crid=2TAPNWFP3G2SB&amp;dib=eyJ2IjoiMSJ9.aYNKzH33wqU5Wx4-SsM3rufi6d6frCmANNwoDs4UCVW2BC6YV-Om-5zZjwQJA2tr-0QqXMSejT4XffZgp5BdArJjMCYYdm5LEfTsPWclm0MUqPNwqwxl8pNYxH0KOjWfM1Wag4Rig5ur2Gya3lattOeBItJsnHJT6CS0ss2m5Cuh9ZsAwkgRrtCGfmE8TtDvhZyL9AziDqCNPJ-wbX1TG6z2RrfF2_f7wSzXMUVejZb0cGFS1iRL8IOidyURuq9XuyRSp3g62-zEa2NJsY3LXG6HCRmgrXp7_8ZzDeUGJmY.LaErtuuJJ5sihPXJi5eDrIvWiOYq6WzRfTkizJi25P0&amp;dib_tag=se&amp;keywords=led%2Bbutton&amp;qid=1763097237&amp;s=industrial&amp;sprefix=led%2Bbutton%2Cindustrial%2C181&amp;sr=1-2-spons&amp;sp_csd=d2lkZ2V0TmFtZT1zcF9hdGY&amp;th=1" TargetMode="External"/><Relationship Id="rId44" Type="http://schemas.openxmlformats.org/officeDocument/2006/relationships/hyperlink" Target="https://www.amazon.com/dp/B0FLCTSN8K?ref=cm_sw_r_cso_sms_apin_dp_XQQE1QR6QZB2QE1WFSF8&amp;ref_=cm_sw_r_cso_sms_apin_dp_XQQE1QR6QZB2QE1WFSF8&amp;social_share=cm_sw_r_cso_sms_apin_dp_XQQE1QR6QZB2QE1WFSF8&amp;titleSource=true&amp;th=1" TargetMode="External"/><Relationship Id="rId21" Type="http://schemas.openxmlformats.org/officeDocument/2006/relationships/hyperlink" Target="https://www.amazon.com/Gebildet-12V-24V-Universal-Rocker-Waterproof/dp/B07KQ2R6G4/ref=sxin_14_pa_sp_search_thematic_sspa?content-id=amzn1.sym.d5a4c576-1444-4de3-bd17-3c25a21a3780%3Aamzn1.sym.d5a4c576-1444-4de3-bd17-3c25a21a3780&amp;crid=PLW6JB1T0SEG&amp;cv_ct_cx=ring%2Bterminal%2Btoggle%2Bswitch%2Bwith%2Bcap&amp;keywords=ring%2Bterminal%2Btoggle%2Bswitch%2Bwith%2Bcap&amp;pd_rd_i=B07KQ2R6G4&amp;pd_rd_r=53ef6bac-fa3f-4d46-ab42-4c0c5a7a8ea1&amp;pd_rd_w=ygeZj&amp;pd_rd_wg=tyaQm&amp;pf_rd_p=d5a4c576-1444-4de3-bd17-3c25a21a3780&amp;pf_rd_r=Q6ZPN7QDSBEK928W9X9W&amp;qid=1763097158&amp;sbo=RZvfv%2F%2FHxDF%2BO5021pAnSA%3D%3D&amp;sprefix=ring%2Bterminal%2Btoggle%2Bswitch%2Bwith%2Bcap%2Caps%2C143&amp;sr=1-2-6024b2a3-78e4-4fed-8fed-e1613be3bcce-spons&amp;aref=SHAPllaaLS&amp;sp_csd=d2lkZ2V0TmFtZT1zcF9zZWFyY2hfdGhlbWF0aWM&amp;th=1" TargetMode="External"/><Relationship Id="rId43" Type="http://schemas.openxmlformats.org/officeDocument/2006/relationships/hyperlink" Target="https://www.amazon.com/dp/B0F8HFWPX5?ref=cm_sw_r_cso_sms_apin_dp_54KQTZ89TNWF69GNZ1A9&amp;ref_=cm_sw_r_cso_sms_apin_dp_54KQTZ89TNWF69GNZ1A9&amp;social_share=cm_sw_r_cso_sms_apin_dp_54KQTZ89TNWF69GNZ1A9&amp;titleSource=true&amp;th=1" TargetMode="External"/><Relationship Id="rId24" Type="http://schemas.openxmlformats.org/officeDocument/2006/relationships/hyperlink" Target="https://www.amazon.com/KAIWEETS-Crimping-Self-adjustable-Terminals-Connectors/dp/B0BQ6LQ12G/ref=sr_1_1_sspa?crid=1DHEQM27TH7BQ&amp;dib=eyJ2IjoiMSJ9.LXoGEzKn7CqsSx0mNdHzUkcFRPJIOfNycTBNrFACOJiLmME3H5uqO0MKmEQf9_nsusnlbn2epuuiyGrNcCDj9dEIg9Wc-jhYKgfMq1LXQHS8ZkwpBh__qQj8TWwGLPo_zHmBgbefQ13kM03rysLbtvyPbhMuyclG5to0QclIU3-ISrfGMgjFQD1NzdEu4QP-w8F-W0_6hr7VXXN6c5cSKxXdQ-zvnktEBMSIt0cIV9a-V0O0FGpPsOdQtiElNxMLs--B2mGsxccDjjdC2VTO04NT7bV_JijWCy1m-69d7p4.C-9Fe4fLPEY_3F6imwAPF7TiYBsHYp5hgGouB11GGUw&amp;dib_tag=se&amp;keywords=ferrule+connector+kit+rectangle+crimp&amp;qid=1763097868&amp;s=industrial&amp;sprefix=ferrule+connector+kit+rectangle+crimp%2Cindustrial%2C127&amp;sr=1-1-spons&amp;sp_csd=d2lkZ2V0TmFtZT1zcF9hdGY&amp;psc=1" TargetMode="External"/><Relationship Id="rId46" Type="http://schemas.openxmlformats.org/officeDocument/2006/relationships/vmlDrawing" Target="../drawings/vmlDrawing1.vml"/><Relationship Id="rId23" Type="http://schemas.openxmlformats.org/officeDocument/2006/relationships/hyperlink" Target="https://www.amazon.com/RVBOATPAT-Distribution-Terminal-Battery-Automotive/dp/B0F6SC5C3Q/ref=sr_1_24?crid=G6UV4OAAS3VK&amp;dib=eyJ2IjoiMSJ9.4VF6TgTNJbcmv2DMd4jK7RGacQzKsz2aUQB07GPRX_2tKtzlPx6eUp0bxLkoGfFTb2hd9HO-ksrxlekB6NNwH8bnTdr6QpWjZlvZSiKuGz8fXEvuRU8XFYxJ-Ynqr1yKoAUw0C2KMxeN92mlZOf5lZPK6-huiyxKPUM9IqQjhj-YlsdeABzcxVb8IOpFBZrfi7HkEYGLZZDl29k_duj9WNqkzzEGvGwmJCHNiObvbzXooHMn3JbOKQxSmCDSRtdo-xN74Tc4-wlj-5-yesOg8bOeMjemNtYmq6IXx1E3P2s.hhwAAer9r9B3Ku40qDJe8a00VU_GiadGaulmJ4NxfHQ&amp;dib_tag=se&amp;keywords=small%2Bbus%2Bbars&amp;qid=1763097570&amp;s=industrial&amp;sprefix=small%2Bbus%2Bbar%2Cindustrial%2C183&amp;sr=1-24&amp;th=1" TargetMode="External"/><Relationship Id="rId45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amazon.com/ARTGEAR-Harness-Color-Labeled-Automotive-Motorcycle/dp/B078T8CMF6/ref=sr_1_3?crid=3CK15Z4F9WEAH&amp;dib=eyJ2IjoiMSJ9.nUmKohjnP2z4BVQVpMrlhfovj3OaglK1DB7s0H96bF_U2k1Bv3NeiEuEOyg0OwKpKTlq-QhNTwQSQoLi0vpL5-zMQYsolGXWabxK1LpIjDhn4z0xkKqMyDO3LrufpNfg6Lv3SO7BSOUW2LOky5t8Sn4afOzMdinzOe0poSXY_As11YrRX3QCQmO_B6TOxNTqp9P6Vih81xHml7PptHSaqA0MkEjTMQ09FwN87nJ9F7U.EzV2zwUv8eccUeQHDZiLc1nNFSelNQPYQho8WI786J4&amp;dib_tag=se&amp;keywords=diode+protected+automotive+relay+socket&amp;qid=1763093569&amp;sprefix=doideprotected+automotive+relay+socket%2Caps%2C140&amp;sr=8-3" TargetMode="External"/><Relationship Id="rId9" Type="http://schemas.openxmlformats.org/officeDocument/2006/relationships/hyperlink" Target="https://www.amazon.com/Mofeez-Power-Distribution-Screws-Terminals/dp/B0DGLC9XFT/ref=sr_1_2_sspa?crid=16DD2WO2S0ZQW&amp;dib=eyJ2IjoiMSJ9.MrnrjEg81Z-97CJkHwJNJ-15A_HFCALhUEhen846oG8GHM2kEBMrhp0W8A0_57SNZ2TIJYXYTZ3DHt7P73wu2MD2BZ1fo8aMR_Qmd7xw1V8PxLNaTygHlX35-7Su4OZ4BYZXL2Arnb2FECjFgXQaO3wfbCJWUjukm3OQvFXsniGKLkHN5KPKn98tR3e4KudMrrQSjlVZUfZHf2DVe0TgwNMW_9ayrzRb4RsVYrsB59A.MN_ZJL7tYIasKE6vgW1LW676dv9YsX0_QZvQhu4GD-Q&amp;dib_tag=se&amp;keywords=6%2BAWG%2Bpositive%2Bbus%2Bbar&amp;qid=1763094225&amp;sprefix=6%2Bawgpositive%2Bbus%2Bbar%2Caps%2C147&amp;sr=8-2-spons&amp;sp_csd=d2lkZ2V0TmFtZT1zcF9hdGY&amp;th=1" TargetMode="External"/><Relationship Id="rId26" Type="http://schemas.openxmlformats.org/officeDocument/2006/relationships/hyperlink" Target="https://www.amazon.com/Connector-pre-crimped-Housing-Adapter-Compatible/dp/B08G188ZQ8/ref=sr_1_3?crid=R5MFFLBZ349E&amp;dib=eyJ2IjoiMSJ9.vqwhOlzn8obGumd1UeuxmgHc-QUoXvijYsdC2rTJk0g0udAJwmj-jatmZD0eKGb8hG0KDv44-9Z6lJ2MajZJInqjWbOA7ulNzf6rTJUj48zlsNKAHurkhW4EgzKPktqLxy4F9U-gswuOdwmMMyeNUde2IYjmXgxhr6da28FUPbxoPLXiT9Y7WFpARjGPwSYSbd7ckCn6GChnLeF9IVevCRs8DPB2c6L6fe3lnaXfJGM.Rizwm6vC3wJIa783pnqk-kkeWW9VISAhPKLEo0uHcjg&amp;dib_tag=se&amp;keywords=PCb%2Bto%2Bwire%2Bconnectors&amp;qid=1763098568&amp;sprefix=pcb%2Bto%2Bwire%2Bconnector%2Caps%2C164&amp;sr=8-3&amp;th=1" TargetMode="External"/><Relationship Id="rId25" Type="http://schemas.openxmlformats.org/officeDocument/2006/relationships/hyperlink" Target="https://www.amazon.com/Keco-100ft-Expandable-Braided-Sleeving/dp/B08CKRLS2M/ref=sxin_14_pa_sp_search_thematic_sspa?content-id=amzn1.sym.7f348b0b-9186-427b-9468-a5e99d647fd3%3Aamzn1.sym.7f348b0b-9186-427b-9468-a5e99d647fd3&amp;crid=3C8NJDAWB8EIE&amp;cv_ct_cx=automotive%2Bgrade%2Bwire%2Bsleeving&amp;keywords=automotive%2Bgrade%2Bwire%2Bsleeving&amp;pd_rd_i=B07K1XJNJN&amp;pd_rd_r=bb81ef38-c603-4b4e-a0ca-20a076b11a76&amp;pd_rd_w=QzUsr&amp;pd_rd_wg=4qrNJ&amp;pf_rd_p=7f348b0b-9186-427b-9468-a5e99d647fd3&amp;pf_rd_r=EE0PPWFCK5SDXKF220KC&amp;qid=1763098104&amp;sbo=RZvfv%2F%2FHxDF%2BO5021pAnSA%3D%3D&amp;sprefix=automotive%2Bgradewire%2Bsleeving%2Caps%2C153&amp;sr=1-1-e169343e-09af-4d41-85b1-8335fe8f32d0-spons&amp;aref=b709ee91RI&amp;sp_csd=d2lkZ2V0TmFtZT1zcF9zZWFyY2hfdGhlbWF0aWM&amp;th=1" TargetMode="External"/><Relationship Id="rId28" Type="http://schemas.openxmlformats.org/officeDocument/2006/relationships/hyperlink" Target="https://www.wiringdepot.com/store/p/669-Automotive-Primary-Wire-12-AWG-12-Ft-Cut.aspx" TargetMode="External"/><Relationship Id="rId27" Type="http://schemas.openxmlformats.org/officeDocument/2006/relationships/hyperlink" Target="https://www.wiringdepot.com/store/p/669-Automotive-Primary-Wire-12-AWG-12-Ft-Cut.aspx" TargetMode="External"/><Relationship Id="rId5" Type="http://schemas.openxmlformats.org/officeDocument/2006/relationships/hyperlink" Target="https://www.amazon.com/Bosch-0986332030-Relay/dp/B00BHIM4N0/ref=sr_1_5?crid=78L1JV553CBS&amp;dib=eyJ2IjoiMSJ9.TiTm8Xqc2dmyOCYywFLdC0yZeg8lyIPdpyyz3-LMyElvMW9oNsyjH1vaEK0-YpOQnr8SAaAP6JDr7YCNz7oxXccR3b4F08qe5NrN_Xc6s8aDdDOAlCV-Qgk97omueDCmnznk2IifXVNSqBrbIAH0-Y7edhDvRLwxaP3zDWt3FE02-CPcApHagSQ53_lnyn1dUW9OtoV-K6ltezjHq7Gdaj-kqEuhFbOnqKxqL6GCHaA._fF4FnpHbHlHCQxCo9FnTHrd76bEDM8MryLK8NnoWXE&amp;dib_tag=se&amp;keywords=automotive+bosch+4+pin+relay&amp;qid=1763093735&amp;sprefix=automotive+bosch+4+pin+relay%2Caps%2C169&amp;sr=8-5" TargetMode="External"/><Relationship Id="rId6" Type="http://schemas.openxmlformats.org/officeDocument/2006/relationships/hyperlink" Target="https://www.amazon.com/DaierTek-Indicator-Waterproof-Terminals-Automotive/dp/B0CGT91KTR/ref=sr_1_1_sspa?dib=eyJ2IjoiMSJ9.yJ4JEVJxU88lVO90BCG8Y1xWB1PNjxElk9GfKoCD3vwqaeFqPG7l7E6jn4hHONEoYMo4Vy3CflfQ07Ymv2l1g1jPdM174q-QxJoPdtMjrD__a3nDF1cCBe0NNvHDna2NuHTQbYsG0xhcGV4mnHQteyh64tCQxLFxqBDmvstoSO7k8igYIopOa_bT26T5ZUdvE43ZkKbyW59PzRON8c3iKXe8wVkSiPIONRkboE-iM0c.Nw5M4CZ4k01h_ir1NVqSDf0eWeRZBxSShrQVjUYdX2Q&amp;dib_tag=se&amp;hvadid=636053227156&amp;hvdev=c&amp;hvexpln=0&amp;hvlocphy=9032032&amp;hvnetw=g&amp;hvocijid=15914853125634371330--&amp;hvqmt=e&amp;hvrand=15914853125634371330&amp;hvtargid=kwd-1192110188&amp;hydadcr=7472_13278789&amp;keywords=automotive%2Bfuse%2Bbox&amp;mcid=04b64a79d92330409d49354ad8591080&amp;qid=1763093859&amp;sr=8-1-spons&amp;sp_csd=d2lkZ2V0TmFtZT1zcF9hdGY&amp;th=1" TargetMode="External"/><Relationship Id="rId29" Type="http://schemas.openxmlformats.org/officeDocument/2006/relationships/hyperlink" Target="https://www.wiringdepot.com/store/p/677-Automotive-Primary-Wire-16-AWG-20-Ft-Cut.aspx" TargetMode="External"/><Relationship Id="rId7" Type="http://schemas.openxmlformats.org/officeDocument/2006/relationships/hyperlink" Target="https://www.amazon.com/ZIPCCI-Standard-Fuse-Assortment-Accessories/dp/B0B18NVT5Z/ref=sr_1_2_sspa?crid=34CVNJOUEAQQ4&amp;dib=eyJ2IjoiMSJ9.4m8Zxi-k4Hl1NdscuMGE0IF8ebfxAJDZlnmxB_bFOIx0CZOQVDCDMbkORnqkciYct9RNVDBzMrBG2kszKsIB-WszST00DFirlFrQEzfBTwdLuoBJRSBFUL8p4ljSNzy7DzVsj9CuEBrBZ4MxCsblt23aD771_CGvva0dbm47E3EjZGNe0Ij6GYS1lwY66axHYS2Yd_UAfmNh-3e5VR_MNGmLv6VQuTuMNqukt4B_XvE._7zC_y3KwlnDQjMdKQNHtufAdKEl9S9F_EEUpl0lTsE&amp;dib_tag=se&amp;keywords=atc%2Bautomotive%2Bfuses&amp;qid=1763093960&amp;sprefix=atc%2Bautomotive%2Bfuses%2Caps%2C165&amp;sr=8-2-spons&amp;sp_csd=d2lkZ2V0TmFtZT1zcF9hdGY&amp;th=1" TargetMode="External"/><Relationship Id="rId8" Type="http://schemas.openxmlformats.org/officeDocument/2006/relationships/hyperlink" Target="https://www.amazon.com/GOGONFLY-Battery-Disconnect-Isolator-Vehicles/dp/B0981PHXLK/ref=sr_1_1_sspa?crid=2KS4W6KKUKRC8&amp;dib=eyJ2IjoiMSJ9.JqzI2bAYtICzqoGZ0F3ibnslfGzGly5YVpnGD--ENngDefoLj8MTxHAfcjC-iTOo_ohDh8avIOh4XAKJ8eeXQLk2Tj5OQK9Tn5Wx0WCpMgfo3iARf_XVtkTqOjTW4OeoU6-DdrKDQzdpZog_GPFypnSlqN9R6OySzEjAfezQgY-lT0aiYYGl7XB6XZggAZ-n8MU0Zj6wMao_LslaE0i3AD2HC7wKFrBNhNv_v8_8dYE.keREUhREffNotNjILmFxBDjcMXw-gieb1d8SSGKfRV0&amp;dib_tag=se&amp;keywords=battery+kill+switch&amp;qid=1763332042&amp;sprefix=batteyr+kill+switch%2Caps%2C239&amp;sr=8-1-spons&amp;sp_csd=d2lkZ2V0TmFtZT1zcF9hdGY&amp;psc=1" TargetMode="External"/><Relationship Id="rId31" Type="http://schemas.openxmlformats.org/officeDocument/2006/relationships/hyperlink" Target="https://www.amazon.com/DAOKAI-Silicone-Stranded-Electrical-Printer/dp/B09TK155BW/ref=sr_1_6?crid=290JBB5I0YWWC&amp;dib=eyJ2IjoiMSJ9.1WB9Nk1mh6m_y-1X983ZL1BXswQthvEviZaYNUh_jMwwg1xnUeb4w88exsCMfVTAbljKZa73qNefmx4TCNysIYql5KFSaUEyoYKPKFbao_8SnWSyCHHvcwk4aDnimKYEMGVzTf2FiANbjRQQsRRH-KrS-qMOlfji93m6dYZuzuNc90mE52rrhk48YCg77LhFekOF8WCCRX60lnR7yWVPwNwMYt8JmqzO5rNSnJS1mh2CoOYflqbFg824a0EF1uDI5zu4jOjMSqiQCxEVZFalIml44owEkizzx-aRn9-jCU8.X9uS2MJ6cu38fGvuUVRa037Xw9mUqhffaT6gXmGFTW4&amp;dib_tag=se&amp;keywords=22%2BAWG%2BPrimary%2BCopper%2Bthree%2Bcolors&amp;qid=1763261333&amp;s=industrial&amp;sprefix=22%2Bawg%2Bprimary%2Bcopper%2Bthree%2Bcolor%2Cindustrial%2C198&amp;sr=1-6&amp;th=1" TargetMode="External"/><Relationship Id="rId30" Type="http://schemas.openxmlformats.org/officeDocument/2006/relationships/hyperlink" Target="https://www.wiringdepot.com/store/p/677-Automotive-Primary-Wire-16-AWG-20-Ft-Cut.aspx" TargetMode="External"/><Relationship Id="rId11" Type="http://schemas.openxmlformats.org/officeDocument/2006/relationships/hyperlink" Target="https://www.amazon.com/Eventronic-Heat-Shrink-Tubing-Kit-3/dp/B0C8STNGB8/ref=sr_1_4?crid=3IVB0RPTD8FUO&amp;dib=eyJ2IjoiMSJ9.afAtOFc0AWv7IewHnY-Sslh2LQy4qUevBQuImrEUw35xMO1LFpE5AlLitiRIe01dhL5XHns547DxG1RXgC8txvgvRmp6veRUKg-DvYDqmlDpz0yYGY4MP_YZ1RoPj07kOFkR_gAUNz15X8t856ZBk8u9I3GBEepOKzaQw6ckNRaX4uvaZLEPB3dC0lce77RnIGVNvfmDrv1b7Zj6rRQW021FOfggeDrjW5vonJJbkm0.jsjZOZld4E0wV0B0JzcutVCLjh_i-I2-hpXReEiEIy0&amp;dib_tag=se&amp;keywords=heat%2Bshrink&amp;qid=1763095183&amp;sprefix=heat%2Bshrink%2Caps%2C190&amp;sr=8-4&amp;th=1" TargetMode="External"/><Relationship Id="rId33" Type="http://schemas.openxmlformats.org/officeDocument/2006/relationships/hyperlink" Target="https://newportvessels.com/products/newport-12v-30ah-lithium-battery?variant=51646900207983&amp;utm_source=chatgpt.com" TargetMode="External"/><Relationship Id="rId10" Type="http://schemas.openxmlformats.org/officeDocument/2006/relationships/hyperlink" Target="https://www.amazon.com/Tmyjfjingxi-620PCS-Connectors-12-10AWG-Electrical/dp/B0DR8FRBT2/ref=sr_1_2_sspa?crid=2KVRK23FNDZP1&amp;dib=eyJ2IjoiMSJ9.GHO6zIE7OrA3HFmoSF7gUjscMu2_sVEitDFberDhF3AvzNWnZSd8ZSuWejDK-Y4-7CymmRs0oW8oVTlHqtYUjYklqxBr3OOf6XrsVzxcPfciYTehbDusKs4Z5kgFXD1aTcAn0I30NP73Kb4M_K-05o3dyJzensLM1EZOhdjcM8oLvLaAOOO7fJFapt-aApEO_7_c4HwAXLD3qhoqz7pYfF7KOlokKhF9D_snSEw_ZOY.na2DMvM3rH5AogNNfoPtP_gIPD30ujZiCp-hFJ5t9sM&amp;dib_tag=se&amp;keywords=wire+end+caps&amp;qid=1763095039&amp;sprefix=wire+endcaps%2Caps%2C167&amp;sr=8-2-spons&amp;sp_csd=d2lkZ2V0TmFtZT1zcF9hdGY&amp;psc=1" TargetMode="External"/><Relationship Id="rId32" Type="http://schemas.openxmlformats.org/officeDocument/2006/relationships/hyperlink" Target="https://www.amazon.com/Gauge-Copper-Aluminum-Terminal-Connectors/dp/B0CJQZ4FBQ/ref=sr_1_5?dib=eyJ2IjoiMSJ9.-t52xrQboyc4hTN0cNQSjNuCeWe9XYM756_gSeJNoK1ZGB0P2OMSV26Ek-i4ZkALey0lkHf5vz3P--D7un61Qw-_5PG-egTdUwDQ2NidZKgGNac5c85cY8ua5EF9rJuv3pppAQBMO1jzQ6yux5X2S53--lUbwoiVUNR95LjV9VDlA3wnbhKTw81FQg9WxWXBhzvEx1_JeW1IrEm3a1C9P7gP94YbduX8a3NArH4835s.tM_oRPtvB2nhkt5cj7kF2pTbquQdtpx8w6i-9Aowugk&amp;dib_tag=se&amp;hvadid=174247234454&amp;hvdev=c&amp;hvexpln=0&amp;hvlocphy=9032032&amp;hvnetw=g&amp;hvocijid=4822685580562180589--&amp;hvqmt=e&amp;hvrand=4822685580562180589&amp;hvtargid=kwd-40160203584&amp;hydadcr=24656_9648981&amp;keywords=battery%2Bcable%2B4%2Bawg&amp;mcid=5f578bcfade63ee49742494cf237d0bf&amp;qid=1763261814&amp;sr=8-5&amp;th=1" TargetMode="External"/><Relationship Id="rId13" Type="http://schemas.openxmlformats.org/officeDocument/2006/relationships/hyperlink" Target="https://www.amazon.com/haisstronica-Non-Insulated-Connectors-Terminals-Electrical/dp/B09YCRNGP9/ref=sr_1_2_sspa?crid=20FH5ZAQFIKD8&amp;dib=eyJ2IjoiMSJ9.cTMTPk6zcDCPYuN7TiNZjHHT8srSPELN3o8WDppnrYanPQ4xscoVgEB47tXXxnRyjNiNWg1Z5RewwAc7VmaU0IzlOVixr-qkMea3rfenMU8xPPh7WxuBhr8am2vqyqVCz5dMyRw1nXGd6fyw2m9SWkjknxcijqILhAHptjQLQCSw_LHT7tkPH4BNEic1j_Yzl-b1px-GnaT7N5CTCZD-Ca78T8YQl6gZtO7Rau8jTcQ.g_pIIhRR6Cfr0604CljVLEr7iTozLCywLso2KbtJNTw&amp;dib_tag=se&amp;keywords=10-22%2Bawg%2Bring%2Bterminals&amp;qid=1763095146&amp;sprefix=10-22%2Bawg%2Bring%2Bterminals%2Caps%2C159&amp;sr=8-2-spons&amp;sp_csd=d2lkZ2V0TmFtZT1zcF9hdGY&amp;th=1" TargetMode="External"/><Relationship Id="rId35" Type="http://schemas.openxmlformats.org/officeDocument/2006/relationships/hyperlink" Target="https://www.amazon.com/Uenede-Connectors-Terminals-Application-Motorcycles/dp/B0D3D4MXXS/ref=sr_1_4?crid=1LEV4V70WG99C&amp;dib=eyJ2IjoiMSJ9.GINqt5DaowFi24XVGPMtljL_7JwJYpEQ57WXRXPjwWwxBEXlsXnBEZznrgoFAO2_Keh3vLtsklAJjoyjiWH2Ycj1lgt4dD3U0AMw0Hid22cbIF863_hCW-1vulN16SsKZHezIbDJgpZLStSjZBg6_078HDcBhq-bp6QYDmLFM__fCpuOYHJnxMAl60cDOZWlyKbPxL53wzQUUclg2pLvFqLUvxiyg64ZvAMMrqMORMY.GeAIbHgdqaVV5ogb5y-jekowLHT0VnosIczbxE74bM4&amp;dib_tag=se&amp;keywords=clamp+to+M10+battery+cable&amp;qid=1763331984&amp;sprefix=clamp+to+m10+battery+cable%2Caps%2C188&amp;sr=8-4" TargetMode="External"/><Relationship Id="rId12" Type="http://schemas.openxmlformats.org/officeDocument/2006/relationships/hyperlink" Target="https://www.amazon.com/Terminal-Position-Block-Insulated-Electrical/dp/B0BTYHGJK1/ref=sr_1_15?crid=1439609UAYP4D&amp;dib=eyJ2IjoiMSJ9.gkY6TIJithJv6_C4RtbBxJHTlBA439RQJGHHgEdAtEfV8Jkl_N87mIw_4H3PkPBqPoCHNrGvzAiYowniexIKRYd7r-UNoK_1xLB6d3IKrrewR2uyB_xmYz-YEqNrU0-I-LabJ0QrKTQABzKQXjgLq8zNtac3MCqi7rtGjwowdS9CZbHE89_XipO9XleFTEQDavvDq-BQrXdVhgV0owoy9skyko-s0RogtjhLMHwblYs.XGhvGnLB_163IWZWE6pFbDOYtPzMoj7ffRG_UI_MMeY&amp;dib_tag=se&amp;keywords=cheap%2Bbus%2Bbar&amp;qid=1763600335&amp;sprefix=cheapbus%2Bbar%2Caps%2C172&amp;sr=8-15&amp;th=1" TargetMode="External"/><Relationship Id="rId34" Type="http://schemas.openxmlformats.org/officeDocument/2006/relationships/hyperlink" Target="https://expion360.com/products/blue-smart-ip65-charger-6v-12v-1-1-120v-nema-1-16?variant=46345786556579&amp;country=US&amp;currency=USD&amp;utm_medium=product_sync&amp;utm_source=google&amp;utm_content=sag_organic&amp;utm_campaign=sag_organic&amp;gad_source=1&amp;gad_campaignid=23072913021&amp;gbraid=0AAAAACkQ-wQaizPXNU7NfjuOtllyOeVXL&amp;gclid=Cj0KCQiAiebIBhDmARIsAE8PGNJiM9JCZYUVNxZccfRCKTp8pmZi1pgAKHB_ApyhcJvnttKQHZf99ywaArRxEALw_wcB" TargetMode="External"/><Relationship Id="rId15" Type="http://schemas.openxmlformats.org/officeDocument/2006/relationships/hyperlink" Target="https://www.amazon.com/SCOSCHE-PMFHIKF-Maxi-Fuse-Holder/dp/B072JHSW5J/ref=sr_1_4?crid=1OOXGAWR293IZ&amp;dib=eyJ2IjoiMSJ9.h52_Q0GXxmJ5mry2CDJ0U5xJeoho_WVoSEq5AfnXA5yKOejR9RYm0ok6sQmhsisZmZU7kXs2MoWZMz-BLWr3IRR_aevREUg6eLFNPwTX7wsUkwHqmk669a_P_iYEwrMlYE7Uyjh8d9-PL9zLb2LAMvKJ6IKZz9yzUHQwKIShA5qylPeHr2fZvpbMcTtwyI-mLg_oBJZTjTmkSBZo-EC9aOBiodJqXa1gbRnZ8LcjMwo.wYx3a9wPcdQxFL2HUuG4kAJtgZOAFWH9PmUJ3BIkBLw&amp;dib_tag=se&amp;keywords=maxi%2Bfuse%2Bholder&amp;qid=1763099388&amp;sprefix=maxi%2Bfuse%2Bholder%2Caps%2C166&amp;sr=8-4&amp;th=1" TargetMode="External"/><Relationship Id="rId37" Type="http://schemas.openxmlformats.org/officeDocument/2006/relationships/hyperlink" Target="https://www.amazon.com/Ohleats-Battery-Terminal-Cover-Accessories/dp/B0D2Q3PM2K/ref=sr_1_3?crid=2RTJZH2TZ55RN&amp;dib=eyJ2IjoiMSJ9.a-PRBxj9j_A_Fqf1FDPP_yz6ybi0GBFLmhlQUC8LDrW3CMzWAooKcmQ-HUE6Nlh777wWgl2pBxzAXM3sHErfxNIRlHgB5dkqUIAjJ2Y-qhIie04Uvy9zbD04CicjRqDC_hdfgjHyaYq4phFRjtzPborixdsw3Ct4HqOtSx5JC3IhbcGn8qXUSo2NH0GKpGBAKD-LLZSv3Dw43aHKcHI50OOHFeJCFuOjhszMLPl5AFs.lmc_6NlZ6Z-baieoKoemulD_CigdcnZAmxvwVsJoYeU&amp;dib_tag=se&amp;keywords=battery%2Bterminal%2Bconnector%2Bboot&amp;qid=1763333382&amp;sprefix=batterterminal%2Bconnector%2Bboot%2Caps%2C172&amp;sr=8-3&amp;th=1" TargetMode="External"/><Relationship Id="rId14" Type="http://schemas.openxmlformats.org/officeDocument/2006/relationships/hyperlink" Target="https://www.amazon.com/30pcs-Maxi-Fuses-Assortment-Kit/dp/B0BGZMYJ19/ref=sr_1_1_sspa?crid=2QJ4Z0LRS8OKR&amp;dib=eyJ2IjoiMSJ9.EHkUm0Te8VHk46enBJD4YJqzM1-1b6RlNuf9_iXObwCMW7mH6SgT6Zt3QMiuuYVF_DWHIeOh_aCQCAqyXC3O3XkVcHQcsCoZrrtBOM2c0syBI0PxYdkDBxXCP_gjM4OmAHyy23kKfQwpgN4qjQmS-El3aVcFumozhobWG5WYfMsTiRPLO76l4DQ03VcdwoWKUQOd9XZx5C4F3FNzma3BtvVkaRzyo6gXxEsXy8sZmzY.9X5r0h4N68KUISbjm7j_ZYONRi-taMDzN_sfPeBM4yk&amp;dib_tag=se&amp;keywords=MAXI+fuse+assortment&amp;qid=1763099495&amp;sprefix=maxi+fuse+assortmen%2Caps%2C162&amp;sr=8-1-spons&amp;sp_csd=d2lkZ2V0TmFtZT1zcF9hdGY&amp;psc=1" TargetMode="External"/><Relationship Id="rId36" Type="http://schemas.openxmlformats.org/officeDocument/2006/relationships/hyperlink" Target="https://www.amazon.com/XS-Power-586-Adaptor-Thread/dp/B004XH69MY/ref=sr_1_3?crid=1R35W9MDXXYBI&amp;dib=eyJ2IjoiMSJ9.0w4IRANTM4fx7jzQIgeWHOZp95ZwvQi2RYKtkQDQ2_kWP4U4Xwq7cgk3xb-NIfvTKQ98HMD0HN3MkPeK6YvyRv7aGM3cz-cWQhqNcjNyk-NOR0krq6CREoYveffg_Pr5LHML3cWB66QMkdzT4TGRmxCMO3RsAX5NyD_vAgNeVnTU6z9bFJ1DD_HRwbnguX64RHtQuLhQ5lnucj2AfUTs0_01beBfSzNB7OryNqoIWKo.pZ2wpnnBpsaXoohZSU9hHib6QCSPaupzhNww3-c-53A&amp;dib_tag=se&amp;keywords=m6+battery+post&amp;qid=1763333285&amp;sprefix=m6+batteyr+pos%2Caps%2C240&amp;sr=8-3" TargetMode="External"/><Relationship Id="rId17" Type="http://schemas.openxmlformats.org/officeDocument/2006/relationships/hyperlink" Target="https://www.amazon.com/Connectors-Waterproof-Electrical-Kit-Thickened-Automotive/dp/B0FS123Z2V/ref=sr_1_5?crid=2O9JTOA7I96PM&amp;dib=eyJ2IjoiMSJ9.i5KggZISOTIyO5mPfq--oho2SDGPyktsX3E9eOgymQTNHvDfIXbcqIwjKmkmjNm6Gj71lWEd3Bsw2Kw3UoLLhk3o1bK3P-O_wJrToJ0pyQGRqh7YKxWd3APXGGjIdYTqUalZSNdYKQf5qFeyPKr7eHIfDWnozoyxDZKjlB0n_eKG6b3Z4xBlGYYeW4ZYqw_a3Id3w8HBuW0VFhO1LOmjOFHQEbJ_ALD6ayV292lf8Oo.JAAZr2muqoMiyZ2i459C9efzPFM7kOcTWRFsCwFo_mo&amp;dib_tag=se&amp;keywords=butt%2Bconnector&amp;qid=1763096816&amp;sprefix=butt%2Bconnector%2B%2Caps%2C212&amp;sr=8-5&amp;th=1" TargetMode="External"/><Relationship Id="rId39" Type="http://schemas.openxmlformats.org/officeDocument/2006/relationships/hyperlink" Target="https://www.amazon.com/Daiertek-Momentary-Switch-Waterproof-Toggle/dp/B07RX68J5B/ref=sr_1_1_sspa?crid=XB961CZRLKG9&amp;dib=eyJ2IjoiMSJ9.-EwYSKttLicYOz0OuZM5z_QF8UhUKzsJItVbeyD_iqDG-uSWKswleL9wURlAtMXivTc0RNEOPge7pzAhvfijCheWzMSxvSGaCr9z21Z0fpRbHGHpJIQwsDW6zPztbJTZiEu0x1_MMAIMl7a_qMy202tRov7ksbd1PmwvO0Rleh_ByFBYL7AIEDQFaOwH3x8Wr8_JH1wZK0AAWMCJIu7OPhi4Z55s0u0YgPFj_GTc3Ho.K2lGJwAMWtBsY94wmi2EoZMZVuANTXWL9NRsRQUHIsY&amp;dib_tag=se&amp;keywords=horn%2Brocker%2Bswitch&amp;qid=1763342096&amp;sprefix=horn%2Brockerswitch%2Caps%2C216&amp;sr=8-1-spons&amp;sp_csd=d2lkZ2V0TmFtZT1zcF9hdGY&amp;th=1" TargetMode="External"/><Relationship Id="rId16" Type="http://schemas.openxmlformats.org/officeDocument/2006/relationships/hyperlink" Target="https://www.amazon.com/Inline-Fuse-Holder-Waterproof-XIOGZAXI/dp/B0C9V2SW8K/ref=sr_1_1_sspa?dib=eyJ2IjoiMSJ9.JKCt9LaUPLuuhEpMJKj3SKA7g4AIBrppvRF9TkzpqF54mK0WpT7041-3bZEJnKPlWL3_5fRosHcVzVBoX5tXACW-R0lvCtIypfqYH46SsTIhloYRQ9iScV4HjJ8eny55FL02Ap8CGq5ac7VeXtvR_I3lAU2yqrnJ1qfyWN4qo1h1PxfO14oW9NX7G5iVdr8EZM7KOlOBTA0QVIIyDPYGO-uu9Kzm7FqPxnKevGsuXLc.rrPicWwOEDbTiQ_7mWt9rQASXo2PLQe_TSWL4qBLQq0&amp;dib_tag=se&amp;hvadid=409954635979&amp;hvdev=c&amp;hvexpln=0&amp;hvlocphy=9032032&amp;hvnetw=g&amp;hvocijid=16755491710968729537--&amp;hvqmt=e&amp;hvrand=16755491710968729537&amp;hvtargid=kwd-367425262756&amp;hydadcr=24627_11409941&amp;keywords=18%2Bgauge%2Binline%2Bfuse%2Bholder&amp;mcid=6529de41279233b1ac143775a0541933&amp;qid=1763096650&amp;sr=8-1-spons&amp;sp_csd=d2lkZ2V0TmFtZT1zcF9hdGY&amp;th=1" TargetMode="External"/><Relationship Id="rId38" Type="http://schemas.openxmlformats.org/officeDocument/2006/relationships/hyperlink" Target="https://www.amazon.com/Waterproof-Electric-Motorcycle-scooter-mopeds/dp/B08R5RWFS4/ref=sr_1_1_sspa?crid=2CGS814DE4N1&amp;dib=eyJ2IjoiMSJ9.p_QkEX5rdsFPstbun4-QOwsbbeH-lhaQBfPgbC0YIpDzLGKMv474iMSudRRkdMvShqWSlssKL8-635aO8Hz5MbrM2yrE1q3HfbGG0MzlCJbibxh_hELPv0XbQ7S6XXP00-M-AeI8KfXo6dpRmGgsVQn2k3H7RWdQcZVlG1FYkT2H7erif5El-CCa5RnQc0JoP99jGWcJrmrRwxZvTTD6ls2xUW-_v-lLwOQL_VDbxh0.n93z0O_1abHVKFVumzq80HMzjjfPajAHqxjWgqFzRJA&amp;dib_tag=se&amp;keywords=car%2Bhorn&amp;qid=1763340846&amp;sprefix=car%2Bhorn%2Caps%2C252&amp;sr=8-1-spons&amp;sp_csd=d2lkZ2V0TmFtZT1zcF9hdGY&amp;th=1" TargetMode="External"/><Relationship Id="rId19" Type="http://schemas.openxmlformats.org/officeDocument/2006/relationships/hyperlink" Target="https://www.amazon.com/Emergency-Latching-Aluminum-Waterproof-Self-Locking/dp/B0BZTPQ1CJ/ref=sr_1_5?crid=1UNC9B6P6WKJL&amp;dib=eyJ2IjoiMSJ9.o0JLMga4CanfnAaJZnGvPgt00qirzJ30CQjgwpzrJF_kF_lQ5TCG8tppWb-Hc9RM8MBhQksOlUvaYlxskrSPFst9wPRxbIDM7GohRlhkjNXyx6VG_BNbPYhCq8Ms54VW2_Y0fvmrzNzP3ZDjsGGdTyn7_7SLQpb6Q9n9J4sOYK9hrhlaXmH7CxcmjFemULKfLwMcsFbcpcn0XHm-x1Cs8tNuDN3JiEoHJqJlrkjCffs_n_7CIN_3IkBbZSzBuie5jZmYl9yq_j2Z63v9nMCd_IxS-ItvCLH3AQBsOaZGUAo.G90ED8_2-92Km5e1AKq5QkPcX284o1AMMii1vhZ5m4Q&amp;dib_tag=se&amp;keywords=e%2Bstops&amp;qid=1763691959&amp;sprefix=e%2Bstops%2B%2Caps%2C221&amp;sr=8-5&amp;th=1" TargetMode="External"/><Relationship Id="rId18" Type="http://schemas.openxmlformats.org/officeDocument/2006/relationships/hyperlink" Target="https://www.amazon.com/Twippo-Automotive-Electrical-Waterproof-Connectors/dp/B0DQ5DK3TM/ref=sr_1_1_sspa?crid=SAX85E4B0X4M&amp;dib=eyJ2IjoiMSJ9.jgDBciL-DuRRfwcKS-Vg2Fqy2I-M2_AQ2K67uo0qC3GmJ3y6JMhVqfFeg8olQnknf_ZmyTjXdXOrWfliTs6Lcei5awU0FApXlqhZlKSyiFY1QIPc2N3QwCW6eJW_LnRXstrRPBtd1FlBe4yOWBqb4ypWAlQ--p_ZmqYwy2lIS5tD28yhdNBOO0L5HZheYO7Rc1-YlDfInbYGdh2BNEFbE66DyNpa8lRjpPN_rKCyx8Q.No5lWjhP3VYOk-2bgUjR2OOKD7iBG9VzHoG_5OR7cxo&amp;dib_tag=se&amp;keywords=deutsch+connector+kit&amp;qid=1763096862&amp;sprefix=deutch+connector+ki%2Caps%2C168&amp;sr=8-1-spons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E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L1" s="3" t="s">
        <v>6</v>
      </c>
    </row>
    <row r="2">
      <c r="A2" s="4"/>
      <c r="B2" s="4" t="s">
        <v>7</v>
      </c>
      <c r="E2" s="5" t="s">
        <v>8</v>
      </c>
      <c r="G2" s="6">
        <v>7.99</v>
      </c>
      <c r="H2" s="7">
        <v>2.0</v>
      </c>
      <c r="I2" s="8">
        <f t="shared" ref="I2:I42" si="1">MULTIPLY(G2,H2)</f>
        <v>15.98</v>
      </c>
      <c r="J2" s="9" t="s">
        <v>9</v>
      </c>
      <c r="K2" s="10">
        <f>MULTIPLY(L2,1)</f>
        <v>737.65</v>
      </c>
      <c r="L2" s="11" t="str">
        <f>IMSUM(I2:I142)</f>
        <v>737.65</v>
      </c>
    </row>
    <row r="3">
      <c r="A3" s="4"/>
      <c r="B3" s="4" t="s">
        <v>10</v>
      </c>
      <c r="E3" s="12" t="s">
        <v>11</v>
      </c>
      <c r="G3" s="6">
        <v>11.29</v>
      </c>
      <c r="H3" s="7">
        <v>3.0</v>
      </c>
      <c r="I3" s="8">
        <f t="shared" si="1"/>
        <v>33.87</v>
      </c>
      <c r="J3" s="9" t="s">
        <v>12</v>
      </c>
      <c r="K3" s="10">
        <f>MULTIPLY(L2,1.1025)</f>
        <v>813.259125</v>
      </c>
    </row>
    <row r="4">
      <c r="A4" s="4"/>
      <c r="B4" s="4" t="s">
        <v>13</v>
      </c>
      <c r="E4" s="12" t="s">
        <v>14</v>
      </c>
      <c r="G4" s="6">
        <v>15.99</v>
      </c>
      <c r="H4" s="7">
        <v>1.0</v>
      </c>
      <c r="I4" s="8">
        <f t="shared" si="1"/>
        <v>15.99</v>
      </c>
      <c r="K4" s="13" t="s">
        <v>15</v>
      </c>
    </row>
    <row r="5">
      <c r="A5" s="4"/>
      <c r="B5" s="4" t="s">
        <v>16</v>
      </c>
      <c r="E5" s="12" t="s">
        <v>17</v>
      </c>
      <c r="G5" s="6">
        <v>8.99</v>
      </c>
      <c r="H5" s="7">
        <v>1.0</v>
      </c>
      <c r="I5" s="8">
        <f t="shared" si="1"/>
        <v>8.99</v>
      </c>
    </row>
    <row r="6">
      <c r="A6" s="14" t="b">
        <v>0</v>
      </c>
      <c r="B6" s="14" t="s">
        <v>18</v>
      </c>
      <c r="E6" s="12" t="s">
        <v>19</v>
      </c>
      <c r="G6" s="6">
        <v>12.49</v>
      </c>
      <c r="H6" s="7">
        <v>1.0</v>
      </c>
      <c r="I6" s="8">
        <f t="shared" si="1"/>
        <v>12.49</v>
      </c>
    </row>
    <row r="7">
      <c r="A7" s="4"/>
      <c r="B7" s="4" t="s">
        <v>20</v>
      </c>
      <c r="E7" s="5" t="s">
        <v>21</v>
      </c>
      <c r="G7" s="6">
        <v>29.99</v>
      </c>
      <c r="H7" s="7">
        <v>1.0</v>
      </c>
      <c r="I7" s="8">
        <f t="shared" si="1"/>
        <v>29.99</v>
      </c>
    </row>
    <row r="8">
      <c r="A8" s="15" t="b">
        <v>0</v>
      </c>
      <c r="B8" s="15" t="s">
        <v>22</v>
      </c>
      <c r="E8" s="12" t="s">
        <v>23</v>
      </c>
      <c r="G8" s="6">
        <v>8.99</v>
      </c>
      <c r="H8" s="7">
        <v>1.0</v>
      </c>
      <c r="I8" s="8">
        <f t="shared" si="1"/>
        <v>8.99</v>
      </c>
    </row>
    <row r="9">
      <c r="A9" s="14" t="b">
        <v>0</v>
      </c>
      <c r="B9" s="14" t="s">
        <v>24</v>
      </c>
      <c r="E9" s="12" t="s">
        <v>25</v>
      </c>
      <c r="G9" s="6">
        <v>9.99</v>
      </c>
      <c r="H9" s="7">
        <v>1.0</v>
      </c>
      <c r="I9" s="8">
        <f t="shared" si="1"/>
        <v>9.99</v>
      </c>
    </row>
    <row r="10">
      <c r="A10" s="16"/>
      <c r="B10" s="16" t="s">
        <v>26</v>
      </c>
      <c r="E10" s="12" t="s">
        <v>27</v>
      </c>
      <c r="G10" s="6">
        <v>9.24</v>
      </c>
      <c r="H10" s="7">
        <v>1.0</v>
      </c>
      <c r="I10" s="8">
        <f t="shared" si="1"/>
        <v>9.24</v>
      </c>
    </row>
    <row r="11">
      <c r="A11" s="4"/>
      <c r="B11" s="4" t="s">
        <v>28</v>
      </c>
      <c r="E11" s="12" t="s">
        <v>29</v>
      </c>
      <c r="G11" s="6">
        <v>26.99</v>
      </c>
      <c r="H11" s="7">
        <v>1.0</v>
      </c>
      <c r="I11" s="8">
        <f t="shared" si="1"/>
        <v>26.99</v>
      </c>
    </row>
    <row r="12">
      <c r="A12" s="4"/>
      <c r="B12" s="4" t="s">
        <v>30</v>
      </c>
      <c r="E12" s="5" t="s">
        <v>31</v>
      </c>
      <c r="G12" s="6">
        <v>16.88</v>
      </c>
      <c r="H12" s="7">
        <v>1.0</v>
      </c>
      <c r="I12" s="8">
        <f t="shared" si="1"/>
        <v>16.88</v>
      </c>
    </row>
    <row r="13">
      <c r="A13" s="4"/>
      <c r="B13" s="4" t="s">
        <v>32</v>
      </c>
      <c r="E13" s="12" t="s">
        <v>33</v>
      </c>
      <c r="G13" s="6">
        <v>12.81</v>
      </c>
      <c r="H13" s="7">
        <v>2.0</v>
      </c>
      <c r="I13" s="8">
        <f t="shared" si="1"/>
        <v>25.62</v>
      </c>
    </row>
    <row r="14">
      <c r="A14" s="17"/>
      <c r="B14" s="17" t="s">
        <v>34</v>
      </c>
      <c r="E14" s="5" t="s">
        <v>35</v>
      </c>
      <c r="G14" s="6">
        <v>5.39</v>
      </c>
      <c r="H14" s="7">
        <v>1.0</v>
      </c>
      <c r="I14" s="8">
        <f t="shared" si="1"/>
        <v>5.39</v>
      </c>
    </row>
    <row r="15">
      <c r="A15" s="4"/>
      <c r="B15" s="4" t="s">
        <v>36</v>
      </c>
      <c r="E15" s="12" t="s">
        <v>37</v>
      </c>
      <c r="G15" s="6">
        <v>4.99</v>
      </c>
      <c r="H15" s="7">
        <v>1.0</v>
      </c>
      <c r="I15" s="8">
        <f t="shared" si="1"/>
        <v>4.99</v>
      </c>
    </row>
    <row r="16">
      <c r="A16" s="4"/>
      <c r="B16" s="4" t="s">
        <v>38</v>
      </c>
      <c r="E16" s="5" t="s">
        <v>39</v>
      </c>
      <c r="G16" s="6">
        <v>26.99</v>
      </c>
      <c r="H16" s="7">
        <v>1.0</v>
      </c>
      <c r="I16" s="8">
        <f t="shared" si="1"/>
        <v>26.99</v>
      </c>
    </row>
    <row r="17">
      <c r="A17" s="15" t="b">
        <v>0</v>
      </c>
      <c r="B17" s="15" t="s">
        <v>40</v>
      </c>
      <c r="E17" s="5" t="s">
        <v>41</v>
      </c>
      <c r="G17" s="6">
        <v>11.99</v>
      </c>
      <c r="H17" s="7">
        <v>2.0</v>
      </c>
      <c r="I17" s="8">
        <f t="shared" si="1"/>
        <v>23.98</v>
      </c>
    </row>
    <row r="18">
      <c r="A18" s="17"/>
      <c r="B18" s="17" t="s">
        <v>42</v>
      </c>
      <c r="E18" s="12" t="s">
        <v>43</v>
      </c>
      <c r="G18" s="6">
        <v>9.99</v>
      </c>
      <c r="H18" s="7">
        <v>1.0</v>
      </c>
      <c r="I18" s="8">
        <f t="shared" si="1"/>
        <v>9.99</v>
      </c>
    </row>
    <row r="19">
      <c r="A19" s="17"/>
      <c r="B19" s="17" t="s">
        <v>44</v>
      </c>
      <c r="E19" s="5" t="s">
        <v>45</v>
      </c>
      <c r="G19" s="6">
        <v>7.99</v>
      </c>
      <c r="H19" s="7">
        <v>1.0</v>
      </c>
      <c r="I19" s="8">
        <f t="shared" si="1"/>
        <v>7.99</v>
      </c>
    </row>
    <row r="20">
      <c r="A20" s="17"/>
      <c r="B20" s="17" t="s">
        <v>46</v>
      </c>
      <c r="E20" s="12" t="s">
        <v>47</v>
      </c>
      <c r="G20" s="6">
        <v>6.99</v>
      </c>
      <c r="H20" s="7">
        <v>1.0</v>
      </c>
      <c r="I20" s="8">
        <f t="shared" si="1"/>
        <v>6.99</v>
      </c>
    </row>
    <row r="21">
      <c r="A21" s="17"/>
      <c r="B21" s="17" t="s">
        <v>48</v>
      </c>
      <c r="E21" s="12" t="s">
        <v>49</v>
      </c>
      <c r="G21" s="6">
        <v>9.99</v>
      </c>
      <c r="H21" s="7">
        <v>1.0</v>
      </c>
      <c r="I21" s="8">
        <f t="shared" si="1"/>
        <v>9.99</v>
      </c>
    </row>
    <row r="22">
      <c r="A22" s="4"/>
      <c r="B22" s="4" t="s">
        <v>50</v>
      </c>
      <c r="E22" s="12" t="s">
        <v>51</v>
      </c>
      <c r="G22" s="6">
        <v>24.99</v>
      </c>
      <c r="H22" s="7">
        <v>1.0</v>
      </c>
      <c r="I22" s="8">
        <f t="shared" si="1"/>
        <v>24.99</v>
      </c>
    </row>
    <row r="23">
      <c r="A23" s="15" t="b">
        <v>0</v>
      </c>
      <c r="B23" s="15" t="s">
        <v>52</v>
      </c>
      <c r="E23" s="12" t="s">
        <v>53</v>
      </c>
      <c r="G23" s="6">
        <v>10.99</v>
      </c>
      <c r="H23" s="7">
        <v>1.0</v>
      </c>
      <c r="I23" s="8">
        <f t="shared" si="1"/>
        <v>10.99</v>
      </c>
    </row>
    <row r="24">
      <c r="A24" s="4"/>
      <c r="B24" s="4" t="s">
        <v>54</v>
      </c>
      <c r="E24" s="12" t="s">
        <v>55</v>
      </c>
      <c r="G24" s="6">
        <v>16.99</v>
      </c>
      <c r="H24" s="7">
        <v>1.0</v>
      </c>
      <c r="I24" s="8">
        <f t="shared" si="1"/>
        <v>16.99</v>
      </c>
    </row>
    <row r="25">
      <c r="A25" s="18"/>
      <c r="B25" s="18" t="s">
        <v>56</v>
      </c>
      <c r="E25" s="19" t="s">
        <v>57</v>
      </c>
      <c r="G25" s="6">
        <v>5.46</v>
      </c>
      <c r="H25" s="7">
        <v>1.0</v>
      </c>
      <c r="I25" s="8">
        <f t="shared" si="1"/>
        <v>5.46</v>
      </c>
    </row>
    <row r="26">
      <c r="A26" s="4"/>
      <c r="B26" s="4" t="s">
        <v>56</v>
      </c>
      <c r="E26" s="12" t="s">
        <v>57</v>
      </c>
      <c r="G26" s="6">
        <v>5.46</v>
      </c>
      <c r="H26" s="7">
        <v>1.0</v>
      </c>
      <c r="I26" s="8">
        <f t="shared" si="1"/>
        <v>5.46</v>
      </c>
    </row>
    <row r="27">
      <c r="A27" s="4"/>
      <c r="B27" s="4" t="s">
        <v>58</v>
      </c>
      <c r="E27" s="12" t="s">
        <v>59</v>
      </c>
      <c r="G27" s="6">
        <v>5.46</v>
      </c>
      <c r="H27" s="7">
        <v>1.0</v>
      </c>
      <c r="I27" s="8">
        <f t="shared" si="1"/>
        <v>5.46</v>
      </c>
    </row>
    <row r="28">
      <c r="A28" s="4"/>
      <c r="B28" s="4" t="s">
        <v>58</v>
      </c>
      <c r="E28" s="12" t="s">
        <v>59</v>
      </c>
      <c r="G28" s="6">
        <v>5.46</v>
      </c>
      <c r="H28" s="7">
        <v>1.0</v>
      </c>
      <c r="I28" s="8">
        <f t="shared" si="1"/>
        <v>5.46</v>
      </c>
    </row>
    <row r="29">
      <c r="A29" s="20"/>
      <c r="B29" s="20" t="s">
        <v>60</v>
      </c>
      <c r="E29" s="12" t="s">
        <v>61</v>
      </c>
      <c r="G29" s="6">
        <v>9.99</v>
      </c>
      <c r="H29" s="7">
        <v>2.0</v>
      </c>
      <c r="I29" s="8">
        <f t="shared" si="1"/>
        <v>19.98</v>
      </c>
    </row>
    <row r="30">
      <c r="A30" s="4"/>
      <c r="B30" s="4" t="s">
        <v>62</v>
      </c>
      <c r="E30" s="12" t="s">
        <v>63</v>
      </c>
      <c r="G30" s="6">
        <v>40.99</v>
      </c>
      <c r="H30" s="7">
        <v>1.0</v>
      </c>
      <c r="I30" s="8">
        <f t="shared" si="1"/>
        <v>40.99</v>
      </c>
    </row>
    <row r="31">
      <c r="A31" s="4"/>
      <c r="B31" s="4" t="s">
        <v>64</v>
      </c>
      <c r="E31" s="12" t="s">
        <v>65</v>
      </c>
      <c r="G31" s="6">
        <v>144.99</v>
      </c>
      <c r="H31" s="7">
        <v>1.0</v>
      </c>
      <c r="I31" s="8">
        <f t="shared" si="1"/>
        <v>144.99</v>
      </c>
    </row>
    <row r="32">
      <c r="A32" s="14" t="b">
        <v>0</v>
      </c>
      <c r="B32" s="14" t="s">
        <v>66</v>
      </c>
      <c r="E32" s="12" t="s">
        <v>67</v>
      </c>
      <c r="G32" s="6">
        <v>85.0</v>
      </c>
      <c r="H32" s="7"/>
      <c r="I32" s="8">
        <f t="shared" si="1"/>
        <v>0</v>
      </c>
    </row>
    <row r="33">
      <c r="A33" s="4"/>
      <c r="B33" s="4" t="s">
        <v>68</v>
      </c>
      <c r="E33" s="12" t="s">
        <v>69</v>
      </c>
      <c r="G33" s="6">
        <v>8.49</v>
      </c>
      <c r="H33" s="7">
        <v>1.0</v>
      </c>
      <c r="I33" s="8">
        <f t="shared" si="1"/>
        <v>8.49</v>
      </c>
    </row>
    <row r="34">
      <c r="A34" s="4"/>
      <c r="B34" s="4" t="s">
        <v>70</v>
      </c>
      <c r="E34" s="12" t="s">
        <v>71</v>
      </c>
      <c r="G34" s="6">
        <v>14.99</v>
      </c>
      <c r="H34" s="7">
        <v>1.0</v>
      </c>
      <c r="I34" s="8">
        <f t="shared" si="1"/>
        <v>14.99</v>
      </c>
    </row>
    <row r="35">
      <c r="A35" s="21" t="b">
        <v>0</v>
      </c>
      <c r="B35" s="21" t="s">
        <v>72</v>
      </c>
      <c r="E35" s="12" t="s">
        <v>73</v>
      </c>
      <c r="G35" s="6">
        <v>4.69</v>
      </c>
      <c r="H35" s="7">
        <v>1.0</v>
      </c>
      <c r="I35" s="8">
        <f t="shared" si="1"/>
        <v>4.69</v>
      </c>
    </row>
    <row r="36">
      <c r="A36" s="14" t="b">
        <v>0</v>
      </c>
      <c r="B36" s="14" t="s">
        <v>74</v>
      </c>
      <c r="E36" s="12" t="s">
        <v>75</v>
      </c>
      <c r="G36" s="6">
        <v>10.88</v>
      </c>
      <c r="H36" s="7">
        <v>1.0</v>
      </c>
      <c r="I36" s="8">
        <f t="shared" si="1"/>
        <v>10.88</v>
      </c>
    </row>
    <row r="37">
      <c r="A37" s="14" t="b">
        <v>0</v>
      </c>
      <c r="B37" s="14" t="s">
        <v>76</v>
      </c>
      <c r="E37" s="12" t="s">
        <v>77</v>
      </c>
      <c r="G37" s="6">
        <v>8.99</v>
      </c>
      <c r="H37" s="7">
        <v>1.0</v>
      </c>
      <c r="I37" s="8">
        <f t="shared" si="1"/>
        <v>8.99</v>
      </c>
    </row>
    <row r="38">
      <c r="A38" s="14" t="b">
        <v>0</v>
      </c>
      <c r="B38" s="14" t="s">
        <v>78</v>
      </c>
      <c r="E38" s="12" t="s">
        <v>79</v>
      </c>
      <c r="G38" s="6">
        <v>9.95</v>
      </c>
      <c r="H38" s="7">
        <v>1.0</v>
      </c>
      <c r="I38" s="8">
        <f t="shared" si="1"/>
        <v>9.95</v>
      </c>
    </row>
    <row r="39">
      <c r="A39" s="15" t="b">
        <v>0</v>
      </c>
      <c r="B39" s="15" t="s">
        <v>80</v>
      </c>
      <c r="E39" s="12" t="s">
        <v>81</v>
      </c>
      <c r="G39" s="6">
        <v>12.59</v>
      </c>
      <c r="H39" s="7">
        <v>1.0</v>
      </c>
      <c r="I39" s="8">
        <f t="shared" si="1"/>
        <v>12.59</v>
      </c>
    </row>
    <row r="40">
      <c r="A40" s="15" t="b">
        <v>0</v>
      </c>
      <c r="B40" s="15" t="s">
        <v>82</v>
      </c>
      <c r="E40" s="12" t="s">
        <v>83</v>
      </c>
      <c r="G40" s="6">
        <v>8.99</v>
      </c>
      <c r="H40" s="7">
        <v>1.0</v>
      </c>
      <c r="I40" s="8">
        <f t="shared" si="1"/>
        <v>8.99</v>
      </c>
    </row>
    <row r="41">
      <c r="A41" s="15" t="b">
        <v>0</v>
      </c>
      <c r="B41" s="15" t="s">
        <v>84</v>
      </c>
      <c r="E41" s="5" t="s">
        <v>85</v>
      </c>
      <c r="G41" s="6">
        <v>49.99</v>
      </c>
      <c r="H41" s="7">
        <v>1.0</v>
      </c>
      <c r="I41" s="8">
        <f t="shared" si="1"/>
        <v>49.99</v>
      </c>
    </row>
    <row r="42">
      <c r="A42" s="15" t="b">
        <v>0</v>
      </c>
      <c r="B42" s="15" t="s">
        <v>86</v>
      </c>
      <c r="E42" s="12" t="s">
        <v>87</v>
      </c>
      <c r="G42" s="6">
        <v>15.99</v>
      </c>
      <c r="H42" s="7">
        <v>1.0</v>
      </c>
      <c r="I42" s="8">
        <f t="shared" si="1"/>
        <v>15.99</v>
      </c>
    </row>
    <row r="43">
      <c r="A43" s="22"/>
      <c r="B43" s="22"/>
      <c r="E43" s="22"/>
      <c r="G43" s="8"/>
      <c r="H43" s="23"/>
      <c r="I43" s="8"/>
    </row>
    <row r="44">
      <c r="A44" s="22"/>
      <c r="B44" s="22"/>
      <c r="E44" s="22"/>
      <c r="G44" s="8"/>
      <c r="H44" s="23"/>
      <c r="I44" s="8"/>
    </row>
    <row r="45">
      <c r="A45" s="22"/>
      <c r="B45" s="22"/>
      <c r="E45" s="22"/>
      <c r="G45" s="8"/>
      <c r="H45" s="23"/>
      <c r="I45" s="8"/>
    </row>
    <row r="46">
      <c r="A46" s="22"/>
      <c r="B46" s="22"/>
      <c r="E46" s="22"/>
      <c r="G46" s="8"/>
      <c r="H46" s="23"/>
      <c r="I46" s="8"/>
    </row>
    <row r="47">
      <c r="A47" s="22"/>
      <c r="B47" s="22"/>
      <c r="E47" s="22"/>
      <c r="G47" s="8"/>
      <c r="H47" s="23"/>
      <c r="I47" s="8"/>
    </row>
    <row r="48">
      <c r="A48" s="22"/>
      <c r="B48" s="22"/>
      <c r="E48" s="22"/>
      <c r="G48" s="8"/>
      <c r="H48" s="23"/>
      <c r="I48" s="8"/>
    </row>
    <row r="49">
      <c r="A49" s="22"/>
      <c r="B49" s="22"/>
      <c r="E49" s="22"/>
      <c r="G49" s="8"/>
      <c r="H49" s="23"/>
      <c r="I49" s="8"/>
    </row>
    <row r="50">
      <c r="A50" s="22"/>
      <c r="B50" s="22"/>
      <c r="E50" s="22"/>
      <c r="G50" s="8"/>
      <c r="H50" s="23"/>
      <c r="I50" s="8"/>
    </row>
    <row r="51">
      <c r="A51" s="22"/>
      <c r="B51" s="22"/>
      <c r="E51" s="22"/>
      <c r="G51" s="8"/>
      <c r="H51" s="23"/>
      <c r="I51" s="8"/>
    </row>
    <row r="52">
      <c r="A52" s="22"/>
      <c r="B52" s="22"/>
      <c r="E52" s="22"/>
      <c r="G52" s="8"/>
      <c r="H52" s="23"/>
      <c r="I52" s="8"/>
    </row>
    <row r="53">
      <c r="A53" s="22"/>
      <c r="B53" s="22"/>
      <c r="E53" s="22"/>
      <c r="G53" s="8"/>
      <c r="H53" s="23"/>
      <c r="I53" s="8"/>
    </row>
    <row r="54">
      <c r="A54" s="22"/>
      <c r="B54" s="22"/>
      <c r="E54" s="22"/>
      <c r="G54" s="8"/>
      <c r="H54" s="23"/>
      <c r="I54" s="8"/>
    </row>
    <row r="55">
      <c r="A55" s="22"/>
      <c r="B55" s="22"/>
      <c r="E55" s="22"/>
      <c r="G55" s="8"/>
      <c r="H55" s="23"/>
      <c r="I55" s="8"/>
    </row>
    <row r="56">
      <c r="A56" s="22"/>
      <c r="B56" s="22"/>
      <c r="E56" s="22"/>
      <c r="G56" s="8"/>
      <c r="H56" s="23"/>
      <c r="I56" s="8"/>
    </row>
    <row r="57">
      <c r="A57" s="22"/>
      <c r="B57" s="22"/>
      <c r="E57" s="22"/>
      <c r="G57" s="8"/>
      <c r="H57" s="23"/>
      <c r="I57" s="8"/>
    </row>
    <row r="58">
      <c r="A58" s="22"/>
      <c r="B58" s="22"/>
      <c r="E58" s="22"/>
      <c r="G58" s="8"/>
      <c r="H58" s="23"/>
      <c r="I58" s="8"/>
    </row>
    <row r="59">
      <c r="A59" s="22"/>
      <c r="B59" s="22"/>
      <c r="E59" s="22"/>
      <c r="G59" s="8"/>
      <c r="H59" s="23"/>
      <c r="I59" s="8"/>
    </row>
    <row r="60">
      <c r="A60" s="22"/>
      <c r="B60" s="22"/>
      <c r="E60" s="22"/>
      <c r="G60" s="8"/>
      <c r="H60" s="23"/>
      <c r="I60" s="8"/>
    </row>
    <row r="61">
      <c r="A61" s="22"/>
      <c r="B61" s="22"/>
      <c r="E61" s="22"/>
      <c r="G61" s="8"/>
      <c r="H61" s="23"/>
      <c r="I61" s="8"/>
    </row>
    <row r="62">
      <c r="A62" s="22"/>
      <c r="B62" s="22"/>
      <c r="E62" s="22"/>
      <c r="G62" s="8"/>
      <c r="H62" s="23"/>
      <c r="I62" s="8"/>
    </row>
    <row r="63">
      <c r="A63" s="22"/>
      <c r="B63" s="22"/>
      <c r="E63" s="22"/>
      <c r="G63" s="8"/>
      <c r="H63" s="23"/>
      <c r="I63" s="8"/>
    </row>
    <row r="64">
      <c r="A64" s="22"/>
      <c r="B64" s="22"/>
      <c r="E64" s="22"/>
      <c r="G64" s="8"/>
      <c r="H64" s="23"/>
      <c r="I64" s="8"/>
    </row>
    <row r="65">
      <c r="A65" s="22"/>
      <c r="B65" s="22"/>
      <c r="E65" s="22"/>
      <c r="G65" s="8"/>
      <c r="H65" s="23"/>
      <c r="I65" s="8"/>
    </row>
    <row r="66">
      <c r="A66" s="22"/>
      <c r="B66" s="22"/>
      <c r="E66" s="22"/>
      <c r="G66" s="8"/>
      <c r="H66" s="23"/>
      <c r="I66" s="8"/>
    </row>
    <row r="67">
      <c r="A67" s="22"/>
      <c r="B67" s="22"/>
      <c r="E67" s="22"/>
      <c r="G67" s="8"/>
      <c r="H67" s="23"/>
      <c r="I67" s="8"/>
    </row>
    <row r="68">
      <c r="A68" s="22"/>
      <c r="B68" s="22"/>
      <c r="E68" s="22"/>
      <c r="G68" s="8"/>
      <c r="H68" s="23"/>
      <c r="I68" s="8"/>
    </row>
    <row r="69">
      <c r="A69" s="22"/>
      <c r="B69" s="22"/>
      <c r="E69" s="22"/>
      <c r="G69" s="8"/>
      <c r="H69" s="23"/>
      <c r="I69" s="8"/>
    </row>
    <row r="70">
      <c r="A70" s="22"/>
      <c r="B70" s="22"/>
      <c r="E70" s="22"/>
      <c r="G70" s="8"/>
      <c r="H70" s="23"/>
      <c r="I70" s="8"/>
    </row>
    <row r="71">
      <c r="A71" s="22"/>
      <c r="B71" s="22"/>
      <c r="E71" s="22"/>
      <c r="G71" s="8"/>
      <c r="H71" s="23"/>
      <c r="I71" s="8"/>
    </row>
    <row r="72">
      <c r="A72" s="22"/>
      <c r="B72" s="22"/>
      <c r="E72" s="22"/>
      <c r="G72" s="8"/>
      <c r="H72" s="23"/>
      <c r="I72" s="8"/>
    </row>
    <row r="73">
      <c r="A73" s="22"/>
      <c r="B73" s="22"/>
      <c r="E73" s="22"/>
      <c r="G73" s="8"/>
      <c r="H73" s="23"/>
      <c r="I73" s="8"/>
    </row>
    <row r="74">
      <c r="A74" s="22"/>
      <c r="B74" s="22"/>
      <c r="E74" s="22"/>
      <c r="G74" s="8"/>
      <c r="H74" s="23"/>
      <c r="I74" s="8"/>
    </row>
    <row r="75">
      <c r="A75" s="22"/>
      <c r="B75" s="22"/>
      <c r="E75" s="22"/>
      <c r="G75" s="8"/>
      <c r="H75" s="23"/>
    </row>
    <row r="76">
      <c r="A76" s="22"/>
      <c r="B76" s="22"/>
      <c r="E76" s="22"/>
      <c r="G76" s="8"/>
      <c r="H76" s="23"/>
    </row>
    <row r="77">
      <c r="A77" s="22"/>
      <c r="B77" s="22"/>
      <c r="E77" s="22"/>
      <c r="G77" s="8"/>
      <c r="H77" s="23"/>
    </row>
    <row r="78">
      <c r="A78" s="22"/>
      <c r="B78" s="22"/>
      <c r="E78" s="22"/>
      <c r="G78" s="8"/>
      <c r="H78" s="23"/>
    </row>
    <row r="79">
      <c r="A79" s="22"/>
      <c r="B79" s="22"/>
      <c r="E79" s="22"/>
      <c r="G79" s="8"/>
      <c r="H79" s="23"/>
    </row>
    <row r="80">
      <c r="A80" s="22"/>
      <c r="B80" s="22"/>
      <c r="E80" s="22"/>
      <c r="G80" s="8"/>
      <c r="H80" s="23"/>
    </row>
    <row r="81">
      <c r="A81" s="22"/>
      <c r="B81" s="22"/>
      <c r="E81" s="22"/>
      <c r="G81" s="8"/>
      <c r="H81" s="23"/>
    </row>
    <row r="82">
      <c r="A82" s="22"/>
      <c r="B82" s="22"/>
      <c r="E82" s="22"/>
      <c r="G82" s="8"/>
      <c r="H82" s="23"/>
    </row>
    <row r="83">
      <c r="A83" s="22"/>
      <c r="B83" s="22"/>
      <c r="E83" s="22"/>
      <c r="G83" s="8"/>
      <c r="H83" s="23"/>
    </row>
    <row r="84">
      <c r="A84" s="22"/>
      <c r="B84" s="22"/>
      <c r="E84" s="22"/>
      <c r="G84" s="8"/>
      <c r="H84" s="23"/>
    </row>
    <row r="85">
      <c r="A85" s="22"/>
      <c r="B85" s="22"/>
      <c r="E85" s="22"/>
      <c r="G85" s="8"/>
      <c r="H85" s="23"/>
    </row>
    <row r="86">
      <c r="A86" s="22"/>
      <c r="B86" s="22"/>
      <c r="E86" s="22"/>
      <c r="G86" s="8"/>
      <c r="H86" s="23"/>
    </row>
    <row r="87">
      <c r="A87" s="22"/>
      <c r="B87" s="22"/>
      <c r="E87" s="22"/>
      <c r="G87" s="8"/>
      <c r="H87" s="23"/>
    </row>
    <row r="88">
      <c r="A88" s="22"/>
      <c r="B88" s="22"/>
      <c r="E88" s="22"/>
      <c r="G88" s="8"/>
      <c r="H88" s="23"/>
    </row>
    <row r="89">
      <c r="A89" s="22"/>
      <c r="B89" s="22"/>
      <c r="E89" s="22"/>
      <c r="G89" s="8"/>
      <c r="H89" s="23"/>
    </row>
    <row r="90">
      <c r="A90" s="22"/>
      <c r="B90" s="22"/>
      <c r="E90" s="22"/>
      <c r="G90" s="8"/>
      <c r="H90" s="23"/>
    </row>
    <row r="91">
      <c r="A91" s="22"/>
      <c r="B91" s="22"/>
      <c r="E91" s="22"/>
      <c r="G91" s="8"/>
      <c r="H91" s="23"/>
    </row>
    <row r="92">
      <c r="A92" s="22"/>
      <c r="B92" s="22"/>
      <c r="E92" s="22"/>
      <c r="G92" s="8"/>
      <c r="H92" s="23"/>
    </row>
    <row r="93">
      <c r="A93" s="22"/>
      <c r="B93" s="22"/>
      <c r="E93" s="22"/>
      <c r="G93" s="8"/>
      <c r="H93" s="23"/>
    </row>
    <row r="94">
      <c r="A94" s="22"/>
      <c r="B94" s="22"/>
      <c r="E94" s="22"/>
      <c r="G94" s="8"/>
      <c r="H94" s="23"/>
    </row>
    <row r="95">
      <c r="A95" s="22"/>
      <c r="B95" s="22"/>
      <c r="E95" s="22"/>
      <c r="G95" s="8"/>
      <c r="H95" s="23"/>
    </row>
    <row r="96">
      <c r="A96" s="22"/>
      <c r="B96" s="22"/>
      <c r="E96" s="22"/>
      <c r="G96" s="8"/>
      <c r="H96" s="23"/>
    </row>
    <row r="97">
      <c r="A97" s="22"/>
      <c r="B97" s="22"/>
      <c r="E97" s="22"/>
      <c r="G97" s="8"/>
      <c r="H97" s="23"/>
    </row>
    <row r="98">
      <c r="A98" s="22"/>
      <c r="B98" s="22"/>
      <c r="E98" s="22"/>
      <c r="G98" s="8"/>
      <c r="H98" s="23"/>
    </row>
    <row r="99">
      <c r="A99" s="22"/>
      <c r="B99" s="22"/>
      <c r="E99" s="22"/>
      <c r="G99" s="8"/>
      <c r="H99" s="23"/>
    </row>
    <row r="100">
      <c r="A100" s="22"/>
      <c r="B100" s="22"/>
      <c r="E100" s="22"/>
      <c r="G100" s="8"/>
      <c r="H100" s="23"/>
    </row>
    <row r="101">
      <c r="A101" s="22"/>
      <c r="B101" s="22"/>
      <c r="E101" s="22"/>
      <c r="G101" s="8"/>
      <c r="H101" s="23"/>
    </row>
    <row r="102">
      <c r="A102" s="22"/>
      <c r="B102" s="22"/>
      <c r="E102" s="22"/>
      <c r="G102" s="8"/>
      <c r="H102" s="23"/>
    </row>
    <row r="103">
      <c r="A103" s="22"/>
      <c r="B103" s="22"/>
      <c r="E103" s="22"/>
      <c r="G103" s="8"/>
      <c r="H103" s="23"/>
    </row>
    <row r="104">
      <c r="A104" s="22"/>
      <c r="B104" s="22"/>
      <c r="E104" s="22"/>
      <c r="G104" s="8"/>
      <c r="H104" s="23"/>
    </row>
    <row r="105">
      <c r="A105" s="22"/>
      <c r="B105" s="22"/>
      <c r="E105" s="22"/>
      <c r="G105" s="8"/>
      <c r="H105" s="23"/>
    </row>
    <row r="106">
      <c r="A106" s="22"/>
      <c r="B106" s="22"/>
      <c r="E106" s="22"/>
      <c r="G106" s="8"/>
      <c r="H106" s="23"/>
    </row>
    <row r="107">
      <c r="A107" s="22"/>
      <c r="B107" s="22"/>
      <c r="E107" s="22"/>
      <c r="G107" s="8"/>
      <c r="H107" s="23"/>
    </row>
    <row r="108">
      <c r="A108" s="22"/>
      <c r="B108" s="22"/>
      <c r="E108" s="22"/>
      <c r="G108" s="8"/>
      <c r="H108" s="23"/>
    </row>
    <row r="109">
      <c r="A109" s="22"/>
      <c r="B109" s="22"/>
      <c r="E109" s="22"/>
      <c r="G109" s="8"/>
      <c r="H109" s="23"/>
    </row>
    <row r="110">
      <c r="A110" s="22"/>
      <c r="B110" s="22"/>
      <c r="E110" s="22"/>
      <c r="G110" s="8"/>
      <c r="H110" s="23"/>
    </row>
    <row r="111">
      <c r="A111" s="22"/>
      <c r="B111" s="22"/>
      <c r="E111" s="22"/>
      <c r="G111" s="8"/>
      <c r="H111" s="23"/>
    </row>
    <row r="112">
      <c r="A112" s="22"/>
      <c r="B112" s="22"/>
      <c r="E112" s="22"/>
      <c r="G112" s="8"/>
      <c r="H112" s="23"/>
    </row>
    <row r="113">
      <c r="A113" s="22"/>
      <c r="B113" s="22"/>
      <c r="E113" s="22"/>
      <c r="G113" s="8"/>
      <c r="H113" s="23"/>
    </row>
    <row r="114">
      <c r="A114" s="22"/>
      <c r="B114" s="22"/>
      <c r="E114" s="22"/>
      <c r="G114" s="8"/>
      <c r="H114" s="23"/>
    </row>
    <row r="115">
      <c r="A115" s="22"/>
      <c r="B115" s="22"/>
      <c r="E115" s="22"/>
      <c r="G115" s="8"/>
      <c r="H115" s="23"/>
    </row>
    <row r="116">
      <c r="A116" s="22"/>
      <c r="B116" s="22"/>
      <c r="E116" s="22"/>
      <c r="G116" s="8"/>
      <c r="H116" s="23"/>
    </row>
    <row r="117">
      <c r="A117" s="22"/>
      <c r="B117" s="22"/>
      <c r="E117" s="22"/>
      <c r="G117" s="8"/>
      <c r="H117" s="23"/>
    </row>
    <row r="118">
      <c r="A118" s="22"/>
      <c r="B118" s="22"/>
      <c r="E118" s="22"/>
      <c r="G118" s="8"/>
      <c r="H118" s="23"/>
    </row>
    <row r="119">
      <c r="A119" s="22"/>
      <c r="B119" s="22"/>
      <c r="E119" s="22"/>
      <c r="G119" s="8"/>
      <c r="H119" s="23"/>
    </row>
    <row r="120">
      <c r="A120" s="22"/>
      <c r="B120" s="22"/>
      <c r="E120" s="22"/>
      <c r="G120" s="8"/>
      <c r="H120" s="23"/>
    </row>
    <row r="121">
      <c r="A121" s="22"/>
      <c r="B121" s="22"/>
      <c r="E121" s="22"/>
      <c r="G121" s="8"/>
      <c r="H121" s="23"/>
    </row>
    <row r="122">
      <c r="A122" s="22"/>
      <c r="B122" s="22"/>
      <c r="E122" s="22"/>
      <c r="G122" s="8"/>
      <c r="H122" s="23"/>
    </row>
    <row r="123">
      <c r="A123" s="22"/>
      <c r="B123" s="22"/>
      <c r="E123" s="22"/>
      <c r="G123" s="8"/>
      <c r="H123" s="23"/>
    </row>
    <row r="124">
      <c r="A124" s="22"/>
      <c r="B124" s="22"/>
      <c r="E124" s="22"/>
      <c r="G124" s="8"/>
      <c r="H124" s="23"/>
    </row>
    <row r="125">
      <c r="A125" s="22"/>
      <c r="B125" s="22"/>
      <c r="E125" s="22"/>
      <c r="G125" s="8"/>
      <c r="H125" s="23"/>
    </row>
    <row r="126">
      <c r="A126" s="22"/>
      <c r="B126" s="22"/>
      <c r="E126" s="22"/>
      <c r="G126" s="8"/>
      <c r="H126" s="23"/>
    </row>
    <row r="127">
      <c r="A127" s="22"/>
      <c r="B127" s="22"/>
      <c r="E127" s="22"/>
      <c r="G127" s="8"/>
      <c r="H127" s="23"/>
    </row>
    <row r="128">
      <c r="A128" s="22"/>
      <c r="B128" s="22"/>
      <c r="E128" s="22"/>
      <c r="G128" s="8"/>
      <c r="H128" s="23"/>
    </row>
    <row r="129">
      <c r="A129" s="22"/>
      <c r="B129" s="22"/>
      <c r="E129" s="22"/>
      <c r="G129" s="8"/>
      <c r="H129" s="23"/>
    </row>
    <row r="130">
      <c r="A130" s="22"/>
      <c r="B130" s="22"/>
      <c r="E130" s="22"/>
      <c r="G130" s="8"/>
      <c r="H130" s="23"/>
    </row>
    <row r="131">
      <c r="A131" s="22"/>
      <c r="B131" s="22"/>
      <c r="E131" s="22"/>
      <c r="G131" s="8"/>
      <c r="H131" s="23"/>
    </row>
    <row r="132">
      <c r="A132" s="22"/>
      <c r="B132" s="22"/>
      <c r="E132" s="22"/>
      <c r="G132" s="8"/>
      <c r="H132" s="23"/>
    </row>
    <row r="133">
      <c r="A133" s="22"/>
      <c r="B133" s="22"/>
      <c r="E133" s="22"/>
      <c r="G133" s="8"/>
      <c r="H133" s="23"/>
    </row>
    <row r="134">
      <c r="A134" s="22"/>
      <c r="B134" s="22"/>
      <c r="E134" s="22"/>
      <c r="G134" s="8"/>
      <c r="H134" s="23"/>
    </row>
    <row r="135">
      <c r="A135" s="22"/>
      <c r="B135" s="22"/>
      <c r="E135" s="22"/>
      <c r="G135" s="8"/>
      <c r="H135" s="23"/>
    </row>
    <row r="136">
      <c r="A136" s="22"/>
      <c r="B136" s="22"/>
      <c r="E136" s="22"/>
      <c r="H136" s="23"/>
    </row>
    <row r="137">
      <c r="A137" s="22"/>
      <c r="B137" s="22"/>
      <c r="E137" s="22"/>
      <c r="H137" s="23"/>
    </row>
    <row r="138">
      <c r="A138" s="22"/>
      <c r="B138" s="22"/>
      <c r="E138" s="22"/>
      <c r="H138" s="23"/>
    </row>
    <row r="139">
      <c r="A139" s="22"/>
      <c r="B139" s="22"/>
      <c r="E139" s="22"/>
      <c r="H139" s="23"/>
    </row>
    <row r="140">
      <c r="A140" s="22"/>
      <c r="B140" s="22"/>
      <c r="E140" s="22"/>
      <c r="H140" s="23"/>
    </row>
    <row r="141">
      <c r="A141" s="22"/>
      <c r="B141" s="22"/>
      <c r="C141" s="22"/>
      <c r="D141" s="22"/>
      <c r="E141" s="22"/>
      <c r="H141" s="23"/>
    </row>
    <row r="142">
      <c r="A142" s="22"/>
      <c r="B142" s="22"/>
      <c r="C142" s="22"/>
      <c r="D142" s="22"/>
      <c r="E142" s="22"/>
      <c r="H142" s="23"/>
    </row>
    <row r="143">
      <c r="A143" s="22"/>
      <c r="B143" s="22"/>
      <c r="C143" s="22"/>
      <c r="D143" s="22"/>
      <c r="E143" s="22"/>
      <c r="H143" s="23"/>
    </row>
    <row r="144">
      <c r="A144" s="22"/>
      <c r="B144" s="22"/>
      <c r="C144" s="22"/>
      <c r="D144" s="22"/>
      <c r="E144" s="22"/>
      <c r="F144" s="22"/>
      <c r="H144" s="23"/>
    </row>
    <row r="145">
      <c r="A145" s="22"/>
      <c r="B145" s="22"/>
      <c r="C145" s="22"/>
      <c r="D145" s="22"/>
      <c r="E145" s="22"/>
      <c r="F145" s="22"/>
      <c r="H145" s="23"/>
    </row>
    <row r="146">
      <c r="A146" s="22"/>
      <c r="B146" s="22"/>
      <c r="C146" s="22"/>
      <c r="D146" s="22"/>
      <c r="E146" s="22"/>
      <c r="F146" s="22"/>
      <c r="H146" s="23"/>
    </row>
    <row r="147">
      <c r="A147" s="22"/>
      <c r="B147" s="22"/>
      <c r="C147" s="22"/>
      <c r="D147" s="22"/>
      <c r="E147" s="22"/>
      <c r="F147" s="22"/>
      <c r="H147" s="23"/>
    </row>
    <row r="148">
      <c r="A148" s="22"/>
      <c r="B148" s="22"/>
      <c r="C148" s="22"/>
      <c r="D148" s="22"/>
      <c r="E148" s="22"/>
      <c r="F148" s="22"/>
      <c r="H148" s="23"/>
    </row>
    <row r="149">
      <c r="A149" s="22"/>
      <c r="B149" s="22"/>
      <c r="C149" s="22"/>
      <c r="D149" s="22"/>
      <c r="E149" s="22"/>
      <c r="F149" s="22"/>
      <c r="H149" s="23"/>
    </row>
    <row r="150">
      <c r="A150" s="22"/>
      <c r="B150" s="22"/>
      <c r="C150" s="22"/>
      <c r="D150" s="22"/>
      <c r="E150" s="22"/>
      <c r="F150" s="22"/>
      <c r="H150" s="23"/>
    </row>
    <row r="151">
      <c r="A151" s="22"/>
      <c r="B151" s="22"/>
      <c r="C151" s="22"/>
      <c r="D151" s="22"/>
      <c r="E151" s="22"/>
      <c r="F151" s="22"/>
      <c r="H151" s="23"/>
    </row>
    <row r="152">
      <c r="A152" s="22"/>
      <c r="B152" s="22"/>
      <c r="C152" s="22"/>
      <c r="D152" s="22"/>
      <c r="E152" s="22"/>
      <c r="F152" s="22"/>
      <c r="H152" s="23"/>
    </row>
    <row r="153">
      <c r="A153" s="22"/>
      <c r="B153" s="22"/>
      <c r="C153" s="22"/>
      <c r="D153" s="22"/>
      <c r="E153" s="22"/>
      <c r="F153" s="22"/>
      <c r="H153" s="23"/>
    </row>
    <row r="154">
      <c r="A154" s="22"/>
      <c r="B154" s="22"/>
      <c r="C154" s="22"/>
      <c r="D154" s="22"/>
      <c r="E154" s="22"/>
      <c r="F154" s="22"/>
      <c r="H154" s="23"/>
    </row>
    <row r="155">
      <c r="A155" s="22"/>
      <c r="B155" s="22"/>
      <c r="C155" s="22"/>
      <c r="D155" s="22"/>
      <c r="E155" s="22"/>
      <c r="F155" s="22"/>
      <c r="H155" s="23"/>
    </row>
    <row r="156">
      <c r="A156" s="22"/>
      <c r="B156" s="22"/>
      <c r="C156" s="22"/>
      <c r="D156" s="22"/>
      <c r="E156" s="22"/>
      <c r="F156" s="22"/>
      <c r="H156" s="23"/>
    </row>
    <row r="157">
      <c r="A157" s="22"/>
      <c r="B157" s="22"/>
      <c r="C157" s="22"/>
      <c r="D157" s="22"/>
      <c r="E157" s="22"/>
      <c r="F157" s="22"/>
      <c r="H157" s="23"/>
    </row>
    <row r="158">
      <c r="A158" s="22"/>
      <c r="B158" s="22"/>
      <c r="C158" s="22"/>
      <c r="D158" s="22"/>
      <c r="E158" s="22"/>
      <c r="F158" s="22"/>
      <c r="H158" s="23"/>
    </row>
    <row r="159">
      <c r="A159" s="22"/>
      <c r="B159" s="22"/>
      <c r="C159" s="22"/>
      <c r="D159" s="22"/>
      <c r="E159" s="22"/>
      <c r="F159" s="22"/>
      <c r="H159" s="23"/>
    </row>
    <row r="160">
      <c r="A160" s="22"/>
      <c r="B160" s="22"/>
      <c r="C160" s="22"/>
      <c r="D160" s="22"/>
      <c r="E160" s="22"/>
      <c r="F160" s="22"/>
      <c r="H160" s="23"/>
    </row>
    <row r="161">
      <c r="A161" s="22"/>
      <c r="B161" s="22"/>
      <c r="C161" s="22"/>
      <c r="D161" s="22"/>
      <c r="E161" s="22"/>
      <c r="F161" s="22"/>
      <c r="H161" s="23"/>
    </row>
    <row r="162">
      <c r="A162" s="22"/>
      <c r="B162" s="22"/>
      <c r="C162" s="22"/>
      <c r="D162" s="22"/>
      <c r="E162" s="22"/>
      <c r="F162" s="22"/>
      <c r="H162" s="23"/>
    </row>
    <row r="163">
      <c r="A163" s="22"/>
      <c r="B163" s="22"/>
      <c r="C163" s="22"/>
      <c r="D163" s="22"/>
      <c r="E163" s="22"/>
      <c r="F163" s="22"/>
      <c r="H163" s="23"/>
    </row>
    <row r="164">
      <c r="H164" s="23"/>
    </row>
    <row r="165">
      <c r="H165" s="23"/>
    </row>
    <row r="166">
      <c r="H166" s="23"/>
    </row>
    <row r="167">
      <c r="H167" s="23"/>
    </row>
    <row r="168">
      <c r="H168" s="23"/>
    </row>
    <row r="169">
      <c r="H169" s="23"/>
    </row>
    <row r="170">
      <c r="H170" s="23"/>
    </row>
    <row r="171">
      <c r="H171" s="23"/>
    </row>
    <row r="172">
      <c r="H172" s="23"/>
    </row>
    <row r="173">
      <c r="H173" s="23"/>
    </row>
    <row r="174">
      <c r="H174" s="23"/>
    </row>
    <row r="175">
      <c r="H175" s="23"/>
    </row>
    <row r="176">
      <c r="H176" s="23"/>
    </row>
    <row r="177">
      <c r="H177" s="23"/>
    </row>
  </sheetData>
  <mergeCells count="283">
    <mergeCell ref="B22:D22"/>
    <mergeCell ref="E22:F22"/>
    <mergeCell ref="B23:D23"/>
    <mergeCell ref="E23:F23"/>
    <mergeCell ref="B24:D24"/>
    <mergeCell ref="E24:F24"/>
    <mergeCell ref="E25:F25"/>
    <mergeCell ref="B25:D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E32:F32"/>
    <mergeCell ref="B32:D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E39:F39"/>
    <mergeCell ref="B39:D39"/>
    <mergeCell ref="B40:D40"/>
    <mergeCell ref="E40:F40"/>
    <mergeCell ref="B41:D41"/>
    <mergeCell ref="E41:F41"/>
    <mergeCell ref="B42:D42"/>
    <mergeCell ref="E42:F42"/>
    <mergeCell ref="B43:D43"/>
    <mergeCell ref="E43:F43"/>
    <mergeCell ref="B44:D44"/>
    <mergeCell ref="E44:F44"/>
    <mergeCell ref="B45:D45"/>
    <mergeCell ref="E45:F45"/>
    <mergeCell ref="E46:F46"/>
    <mergeCell ref="B46:D46"/>
    <mergeCell ref="B47:D47"/>
    <mergeCell ref="E47:F47"/>
    <mergeCell ref="B48:D48"/>
    <mergeCell ref="E48:F48"/>
    <mergeCell ref="B49:D49"/>
    <mergeCell ref="E49:F49"/>
    <mergeCell ref="B50:D50"/>
    <mergeCell ref="E50:F50"/>
    <mergeCell ref="B51:D51"/>
    <mergeCell ref="E51:F51"/>
    <mergeCell ref="B52:D52"/>
    <mergeCell ref="E52:F52"/>
    <mergeCell ref="E53:F53"/>
    <mergeCell ref="B53:D53"/>
    <mergeCell ref="B54:D54"/>
    <mergeCell ref="E54:F54"/>
    <mergeCell ref="B55:D55"/>
    <mergeCell ref="E55:F55"/>
    <mergeCell ref="B56:D56"/>
    <mergeCell ref="E56:F56"/>
    <mergeCell ref="B57:D57"/>
    <mergeCell ref="E57:F57"/>
    <mergeCell ref="B58:D58"/>
    <mergeCell ref="E58:F58"/>
    <mergeCell ref="B59:D59"/>
    <mergeCell ref="E59:F59"/>
    <mergeCell ref="E60:F60"/>
    <mergeCell ref="B60:D60"/>
    <mergeCell ref="B61:D61"/>
    <mergeCell ref="E61:F61"/>
    <mergeCell ref="B62:D62"/>
    <mergeCell ref="E62:F62"/>
    <mergeCell ref="B63:D63"/>
    <mergeCell ref="E63:F63"/>
    <mergeCell ref="B64:D64"/>
    <mergeCell ref="E64:F64"/>
    <mergeCell ref="B65:D65"/>
    <mergeCell ref="E65:F65"/>
    <mergeCell ref="B66:D66"/>
    <mergeCell ref="E66:F66"/>
    <mergeCell ref="E67:F67"/>
    <mergeCell ref="B67:D67"/>
    <mergeCell ref="B68:D68"/>
    <mergeCell ref="E68:F68"/>
    <mergeCell ref="B69:D69"/>
    <mergeCell ref="E69:F69"/>
    <mergeCell ref="B70:D70"/>
    <mergeCell ref="E70:F70"/>
    <mergeCell ref="B120:D120"/>
    <mergeCell ref="E120:F120"/>
    <mergeCell ref="B121:D121"/>
    <mergeCell ref="E121:F121"/>
    <mergeCell ref="B122:D122"/>
    <mergeCell ref="E122:F122"/>
    <mergeCell ref="E123:F123"/>
    <mergeCell ref="B123:D123"/>
    <mergeCell ref="B124:D124"/>
    <mergeCell ref="E124:F124"/>
    <mergeCell ref="B125:D125"/>
    <mergeCell ref="E125:F125"/>
    <mergeCell ref="B126:D126"/>
    <mergeCell ref="E126:F126"/>
    <mergeCell ref="B127:D127"/>
    <mergeCell ref="E127:F127"/>
    <mergeCell ref="B128:D128"/>
    <mergeCell ref="E128:F128"/>
    <mergeCell ref="B129:D129"/>
    <mergeCell ref="E129:F129"/>
    <mergeCell ref="E130:F130"/>
    <mergeCell ref="B130:D130"/>
    <mergeCell ref="B131:D131"/>
    <mergeCell ref="E131:F131"/>
    <mergeCell ref="B132:D132"/>
    <mergeCell ref="E132:F132"/>
    <mergeCell ref="B133:D133"/>
    <mergeCell ref="E133:F133"/>
    <mergeCell ref="B134:D134"/>
    <mergeCell ref="E134:F134"/>
    <mergeCell ref="B135:D135"/>
    <mergeCell ref="E135:F135"/>
    <mergeCell ref="B136:D136"/>
    <mergeCell ref="E136:F136"/>
    <mergeCell ref="E137:F137"/>
    <mergeCell ref="B137:D137"/>
    <mergeCell ref="B138:D138"/>
    <mergeCell ref="E138:F138"/>
    <mergeCell ref="B139:D139"/>
    <mergeCell ref="E139:F139"/>
    <mergeCell ref="B140:D140"/>
    <mergeCell ref="E140:F140"/>
    <mergeCell ref="B1:D1"/>
    <mergeCell ref="E1:F1"/>
    <mergeCell ref="B2:D2"/>
    <mergeCell ref="E2:F2"/>
    <mergeCell ref="B3:D3"/>
    <mergeCell ref="E3:F3"/>
    <mergeCell ref="E4:F4"/>
    <mergeCell ref="B4:D4"/>
    <mergeCell ref="B5:D5"/>
    <mergeCell ref="E5:F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E11:F11"/>
    <mergeCell ref="B11:D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E18:F18"/>
    <mergeCell ref="B18:D18"/>
    <mergeCell ref="B19:D19"/>
    <mergeCell ref="E19:F19"/>
    <mergeCell ref="B20:D20"/>
    <mergeCell ref="E20:F20"/>
    <mergeCell ref="B21:D21"/>
    <mergeCell ref="E21:F21"/>
    <mergeCell ref="E141:F141"/>
    <mergeCell ref="E142:F142"/>
    <mergeCell ref="E143:F143"/>
    <mergeCell ref="B71:D71"/>
    <mergeCell ref="E71:F71"/>
    <mergeCell ref="B72:D72"/>
    <mergeCell ref="E72:F72"/>
    <mergeCell ref="B73:D73"/>
    <mergeCell ref="E73:F73"/>
    <mergeCell ref="E74:F74"/>
    <mergeCell ref="B74:D74"/>
    <mergeCell ref="B75:D75"/>
    <mergeCell ref="E75:F75"/>
    <mergeCell ref="B76:D76"/>
    <mergeCell ref="E76:F76"/>
    <mergeCell ref="B77:D77"/>
    <mergeCell ref="E77:F77"/>
    <mergeCell ref="B78:D78"/>
    <mergeCell ref="E78:F78"/>
    <mergeCell ref="B79:D79"/>
    <mergeCell ref="E79:F79"/>
    <mergeCell ref="B80:D80"/>
    <mergeCell ref="E80:F80"/>
    <mergeCell ref="E81:F81"/>
    <mergeCell ref="B81:D81"/>
    <mergeCell ref="B82:D82"/>
    <mergeCell ref="E82:F82"/>
    <mergeCell ref="B83:D83"/>
    <mergeCell ref="E83:F83"/>
    <mergeCell ref="B84:D84"/>
    <mergeCell ref="E84:F84"/>
    <mergeCell ref="B85:D85"/>
    <mergeCell ref="E85:F85"/>
    <mergeCell ref="B86:D86"/>
    <mergeCell ref="E86:F86"/>
    <mergeCell ref="B87:D87"/>
    <mergeCell ref="E87:F87"/>
    <mergeCell ref="E88:F88"/>
    <mergeCell ref="B88:D88"/>
    <mergeCell ref="B89:D89"/>
    <mergeCell ref="E89:F89"/>
    <mergeCell ref="B90:D90"/>
    <mergeCell ref="E90:F90"/>
    <mergeCell ref="B91:D91"/>
    <mergeCell ref="E91:F91"/>
    <mergeCell ref="B92:D92"/>
    <mergeCell ref="E92:F92"/>
    <mergeCell ref="B93:D93"/>
    <mergeCell ref="E93:F93"/>
    <mergeCell ref="B94:D94"/>
    <mergeCell ref="E94:F94"/>
    <mergeCell ref="E95:F95"/>
    <mergeCell ref="B95:D95"/>
    <mergeCell ref="B96:D96"/>
    <mergeCell ref="E96:F96"/>
    <mergeCell ref="B97:D97"/>
    <mergeCell ref="E97:F97"/>
    <mergeCell ref="B98:D98"/>
    <mergeCell ref="E98:F98"/>
    <mergeCell ref="B99:D99"/>
    <mergeCell ref="E99:F99"/>
    <mergeCell ref="B100:D100"/>
    <mergeCell ref="E100:F100"/>
    <mergeCell ref="B101:D101"/>
    <mergeCell ref="E101:F101"/>
    <mergeCell ref="E102:F102"/>
    <mergeCell ref="B102:D102"/>
    <mergeCell ref="B103:D103"/>
    <mergeCell ref="E103:F103"/>
    <mergeCell ref="B104:D104"/>
    <mergeCell ref="E104:F104"/>
    <mergeCell ref="B105:D105"/>
    <mergeCell ref="E105:F105"/>
    <mergeCell ref="B106:D106"/>
    <mergeCell ref="E106:F106"/>
    <mergeCell ref="B107:D107"/>
    <mergeCell ref="E107:F107"/>
    <mergeCell ref="B108:D108"/>
    <mergeCell ref="E108:F108"/>
    <mergeCell ref="E109:F109"/>
    <mergeCell ref="B109:D109"/>
    <mergeCell ref="B110:D110"/>
    <mergeCell ref="E110:F110"/>
    <mergeCell ref="B111:D111"/>
    <mergeCell ref="E111:F111"/>
    <mergeCell ref="B112:D112"/>
    <mergeCell ref="E112:F112"/>
    <mergeCell ref="B113:D113"/>
    <mergeCell ref="E113:F113"/>
    <mergeCell ref="B114:D114"/>
    <mergeCell ref="E114:F114"/>
    <mergeCell ref="B115:D115"/>
    <mergeCell ref="E115:F115"/>
    <mergeCell ref="E116:F116"/>
    <mergeCell ref="B116:D116"/>
    <mergeCell ref="B117:D117"/>
    <mergeCell ref="E117:F117"/>
    <mergeCell ref="B118:D118"/>
    <mergeCell ref="E118:F118"/>
    <mergeCell ref="B119:D119"/>
    <mergeCell ref="E119:F119"/>
  </mergeCells>
  <hyperlinks>
    <hyperlink r:id="rId4" ref="E2"/>
    <hyperlink r:id="rId5" ref="E3"/>
    <hyperlink r:id="rId6" ref="E4"/>
    <hyperlink r:id="rId7" ref="E5"/>
    <hyperlink r:id="rId8" ref="E6"/>
    <hyperlink r:id="rId9" ref="E7"/>
    <hyperlink r:id="rId10" ref="E8"/>
    <hyperlink r:id="rId11" ref="E9"/>
    <hyperlink r:id="rId12" ref="E10"/>
    <hyperlink r:id="rId13" ref="E11"/>
    <hyperlink r:id="rId14" ref="E12"/>
    <hyperlink r:id="rId15" ref="E13"/>
    <hyperlink r:id="rId16" ref="E14"/>
    <hyperlink r:id="rId17" ref="E15"/>
    <hyperlink r:id="rId18" ref="E16"/>
    <hyperlink r:id="rId19" ref="E17"/>
    <hyperlink r:id="rId20" ref="E18"/>
    <hyperlink r:id="rId21" ref="E19"/>
    <hyperlink r:id="rId22" ref="E20"/>
    <hyperlink r:id="rId23" ref="E21"/>
    <hyperlink r:id="rId24" ref="E22"/>
    <hyperlink r:id="rId25" ref="E23"/>
    <hyperlink r:id="rId26" ref="E24"/>
    <hyperlink r:id="rId27" ref="E25"/>
    <hyperlink r:id="rId28" ref="E26"/>
    <hyperlink r:id="rId29" ref="E27"/>
    <hyperlink r:id="rId30" ref="E28"/>
    <hyperlink r:id="rId31" ref="E29"/>
    <hyperlink r:id="rId32" ref="E30"/>
    <hyperlink r:id="rId33" ref="E31"/>
    <hyperlink r:id="rId34" ref="E32"/>
    <hyperlink r:id="rId35" ref="E33"/>
    <hyperlink r:id="rId36" ref="E34"/>
    <hyperlink r:id="rId37" ref="E35"/>
    <hyperlink r:id="rId38" ref="E36"/>
    <hyperlink r:id="rId39" ref="E37"/>
    <hyperlink r:id="rId40" ref="E38"/>
    <hyperlink r:id="rId41" ref="E39"/>
    <hyperlink r:id="rId42" ref="E40"/>
    <hyperlink r:id="rId43" ref="E41"/>
    <hyperlink r:id="rId44" ref="E42"/>
  </hyperlinks>
  <drawing r:id="rId45"/>
  <legacyDrawing r:id="rId46"/>
</worksheet>
</file>